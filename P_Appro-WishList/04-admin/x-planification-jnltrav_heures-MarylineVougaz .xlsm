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marvougaz\Documents\GitHub\p_Appro-WishList\P_Appro-WishList\04-admin\"/>
    </mc:Choice>
  </mc:AlternateContent>
  <bookViews>
    <workbookView xWindow="0" yWindow="0" windowWidth="28800" windowHeight="11700" activeTab="1"/>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Bilan!$F$31:$CP$31,Bilan!$F$33:$CP$33,Bilan!#REF!,Bilan!#REF!,Bilan!#REF!,Bilan!#REF!,Bilan!#REF!,Bilan!#REF!</definedName>
    <definedName name="DiagrammePlanifHaut">Bilan!$F$15:$CP$15,Bilan!$F$17:$CP$17,Bilan!$F$19:$CP$19,Bilan!$F$21:$CP$21,Bilan!$F$23:$CP$23,Bilan!$F$25:$CP$25,Bilan!$F$27:$CP$27,Bilan!$F$29:$CP$29</definedName>
    <definedName name="DiagrammeRealBas">Bilan!$F$32:$CP$32,Bilan!$F$34:$CP$34,Bilan!#REF!,Bilan!#REF!,Bilan!#REF!,Bilan!#REF!,Bilan!#REF!,Bilan!#REF!</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Bilan!$B$15:$B$34</definedName>
    <definedName name="LstTaches">Bilan!$C$15:$C$34</definedName>
    <definedName name="LstTaches2">OFFSET(TRAVAUX,0,0,COUNTA(TRAVAUX),1)</definedName>
    <definedName name="NBLecons">Bilan!$E$15:$E$34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4" i="12"/>
  <c r="C5" i="12"/>
  <c r="C6" i="12"/>
  <c r="C12" i="12"/>
  <c r="B24" i="12" l="1"/>
  <c r="C23" i="12"/>
  <c r="C22" i="12"/>
  <c r="C21" i="12"/>
  <c r="C20" i="12"/>
  <c r="C19" i="12"/>
  <c r="C18" i="12"/>
  <c r="C17" i="12"/>
  <c r="C16" i="12"/>
  <c r="C24" i="12"/>
  <c r="B36" i="12" l="1"/>
  <c r="C35" i="12"/>
  <c r="C34" i="12"/>
  <c r="C33" i="12"/>
  <c r="C32" i="12"/>
  <c r="C31" i="12"/>
  <c r="C30" i="12"/>
  <c r="C29" i="12"/>
  <c r="C28" i="12"/>
  <c r="C36" i="12"/>
  <c r="B48" i="12" l="1"/>
  <c r="C47" i="12"/>
  <c r="C46" i="12"/>
  <c r="C45" i="12"/>
  <c r="C44" i="12"/>
  <c r="C43" i="12"/>
  <c r="C42" i="12"/>
  <c r="C40" i="12"/>
  <c r="C41" i="12"/>
  <c r="C48" i="12"/>
  <c r="E37" i="1" l="1"/>
  <c r="E35" i="1"/>
  <c r="B60" i="12"/>
  <c r="C59" i="12"/>
  <c r="C58" i="12"/>
  <c r="C57" i="12"/>
  <c r="C55" i="12"/>
  <c r="C52" i="12"/>
  <c r="C54" i="12"/>
  <c r="C53" i="12"/>
  <c r="C60" i="12"/>
  <c r="C56" i="12"/>
  <c r="B72" i="12" l="1"/>
  <c r="C71" i="12"/>
  <c r="C70" i="12"/>
  <c r="C69" i="12"/>
  <c r="C68" i="12"/>
  <c r="B12" i="10"/>
  <c r="C11" i="10"/>
  <c r="C10" i="10"/>
  <c r="C9" i="10"/>
  <c r="B24" i="10"/>
  <c r="C23" i="10"/>
  <c r="C22" i="10"/>
  <c r="C21" i="10"/>
  <c r="B36" i="10"/>
  <c r="C35" i="10"/>
  <c r="C34" i="10"/>
  <c r="C33" i="10"/>
  <c r="C32" i="10"/>
  <c r="B48" i="10"/>
  <c r="C47" i="10"/>
  <c r="C46" i="10"/>
  <c r="C45" i="10"/>
  <c r="C44" i="10"/>
  <c r="B60" i="10"/>
  <c r="C59" i="10"/>
  <c r="C58" i="10"/>
  <c r="C57" i="10"/>
  <c r="C56" i="10"/>
  <c r="C55" i="10"/>
  <c r="B71" i="10"/>
  <c r="C70" i="10"/>
  <c r="C69" i="10"/>
  <c r="C68" i="10"/>
  <c r="C67" i="10"/>
  <c r="C66" i="10"/>
  <c r="B83" i="10"/>
  <c r="C82" i="10"/>
  <c r="C81" i="10"/>
  <c r="C80" i="10"/>
  <c r="C79" i="10"/>
  <c r="C78" i="10"/>
  <c r="B84" i="12"/>
  <c r="C83" i="12"/>
  <c r="C82" i="12"/>
  <c r="C81" i="12"/>
  <c r="C80" i="12"/>
  <c r="C79" i="12"/>
  <c r="C78" i="12"/>
  <c r="C77" i="12"/>
  <c r="B95" i="10"/>
  <c r="C94" i="10"/>
  <c r="C93" i="10"/>
  <c r="C92" i="10"/>
  <c r="C91" i="10"/>
  <c r="C90" i="10"/>
  <c r="C6" i="10"/>
  <c r="C28" i="10"/>
  <c r="C31" i="10"/>
  <c r="C43" i="10"/>
  <c r="C40" i="10"/>
  <c r="C7" i="10"/>
  <c r="C87" i="10"/>
  <c r="C29" i="10"/>
  <c r="C65" i="10"/>
  <c r="C41" i="10"/>
  <c r="C42" i="10"/>
  <c r="C75" i="10"/>
  <c r="C67" i="12"/>
  <c r="C89" i="10"/>
  <c r="C83" i="10"/>
  <c r="C60" i="10"/>
  <c r="C54" i="10"/>
  <c r="C53" i="10"/>
  <c r="C65" i="12"/>
  <c r="C64" i="10"/>
  <c r="C72" i="12"/>
  <c r="C77" i="10"/>
  <c r="C76" i="10"/>
  <c r="C24" i="10"/>
  <c r="C76" i="12"/>
  <c r="C12" i="10"/>
  <c r="C52" i="10"/>
  <c r="C4" i="10"/>
  <c r="C36" i="10"/>
  <c r="C84" i="12"/>
  <c r="C16" i="10"/>
  <c r="C95" i="10"/>
  <c r="C71" i="10"/>
  <c r="C88" i="10"/>
  <c r="C17" i="10"/>
  <c r="C5" i="10"/>
  <c r="C8" i="10"/>
  <c r="C66" i="12"/>
  <c r="C19" i="10"/>
  <c r="C64" i="12"/>
  <c r="C20" i="10"/>
  <c r="C18" i="10"/>
  <c r="C30" i="10"/>
  <c r="C48" i="10"/>
  <c r="C10" i="15" l="1"/>
  <c r="C9" i="15"/>
  <c r="C8" i="15"/>
  <c r="C7" i="15"/>
  <c r="C6" i="15"/>
  <c r="C5" i="15"/>
  <c r="C4" i="15"/>
  <c r="C3" i="15"/>
  <c r="B11" i="15"/>
  <c r="C10" i="16"/>
  <c r="C9" i="16"/>
  <c r="C8" i="16"/>
  <c r="C7" i="16"/>
  <c r="C6" i="16"/>
  <c r="C5" i="16"/>
  <c r="C4" i="16"/>
  <c r="C3" i="16"/>
  <c r="B11" i="16"/>
  <c r="C11" i="15"/>
  <c r="C11" i="16"/>
  <c r="D33" i="1"/>
  <c r="D31" i="1"/>
  <c r="D29" i="1"/>
  <c r="D27" i="1"/>
  <c r="D25" i="1"/>
  <c r="D23" i="1"/>
  <c r="D21" i="1"/>
  <c r="D19" i="1"/>
  <c r="D17" i="1"/>
  <c r="E36" i="1"/>
  <c r="D15" i="1"/>
  <c r="D34" i="1"/>
  <c r="D32" i="1"/>
  <c r="D30" i="1"/>
  <c r="D28" i="1"/>
  <c r="D26" i="1"/>
  <c r="D24" i="1"/>
  <c r="D22" i="1"/>
  <c r="D20" i="1"/>
  <c r="D18" i="1"/>
  <c r="D16" i="1"/>
  <c r="G9" i="1" l="1"/>
  <c r="E38" i="1"/>
  <c r="AH9" i="1" l="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<sst xmlns="http://schemas.openxmlformats.org/spreadsheetml/2006/main" count="414" uniqueCount="108">
  <si>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</si>
  <si>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</si>
  <si>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</si>
  <si>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</si>
  <si>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</si>
  <si>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</si>
  <si>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</si>
  <si>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</si>
  <si>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</si>
  <si>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</si>
  <si>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</si>
  <si>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</si>
  <si>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</si>
  <si>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</si>
  <si>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</si>
  <si>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</si>
  <si>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</si>
  <si>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</si>
  <si>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</si>
  <si>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</si>
  <si>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</si>
  <si>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</si>
  <si>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</si>
  <si>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</si>
  <si>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</si>
  <si>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</si>
  <si>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</si>
  <si>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</si>
  <si>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</si>
  <si>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</si>
  <si>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</si>
  <si>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</si>
  <si>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</si>
  <si>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</si>
  <si>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</si>
  <si>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</si>
  <si>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</si>
  <si>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</si>
  <si>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</si>
  <si>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</si>
  <si>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</si>
  <si>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</si>
  <si>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Du 19.01.2024 au 15.03.2024</t>
  </si>
  <si>
    <t>p_Appro</t>
  </si>
  <si>
    <t>Maryline Vougaz</t>
  </si>
  <si>
    <t>FIN2</t>
  </si>
  <si>
    <t>Présentations de chaque objectifs du tpi par l'enseignant</t>
  </si>
  <si>
    <t>après-midi</t>
  </si>
  <si>
    <t>vendredi, 26 janvier 2024</t>
  </si>
  <si>
    <t>vendredi, 19 janvier 2024</t>
  </si>
  <si>
    <t>Doc - Cahier des charges</t>
  </si>
  <si>
    <t>Admin - Mise en place de l'environnement</t>
  </si>
  <si>
    <t>Admin - Back-up</t>
  </si>
  <si>
    <t>Réalisation - Scraper</t>
  </si>
  <si>
    <t>Admin - Formation Python</t>
  </si>
  <si>
    <t>Mise en place de la planification initiale</t>
  </si>
  <si>
    <t>Mise à jour du journal de travail</t>
  </si>
  <si>
    <t>Création du cahier des charges pour le projet</t>
  </si>
  <si>
    <t>Ajustement et validation du cahier des charges pour le projet</t>
  </si>
  <si>
    <t>Lecture de la documentation de BeautifulSoup</t>
  </si>
  <si>
    <t>Recherche, téléchargement et installations des librairies, extentions, IDE requise pour le projet
BeautifulSoup - Python - VS Code - GitHub Desktop</t>
  </si>
  <si>
    <t>Lecture de la documentation de Python concernant les librairies et les bases du langage</t>
  </si>
  <si>
    <t>Mise en place des fichiers et dossiers du projet, début de code en allant chercher les attributs important d'un produits et ce qui les distingue pour les utiliser dans le scraper</t>
  </si>
  <si>
    <t>Création du projet sur GitHub pour y sauvegarder mon projet</t>
  </si>
  <si>
    <t>Sauvegarde du projet sur le GitHub</t>
  </si>
  <si>
    <t>Tests</t>
  </si>
  <si>
    <t>Rédaction du rapport du projet</t>
  </si>
  <si>
    <t>Mise en place de la fonction qui permet de retourner le fichier .csv</t>
  </si>
  <si>
    <t>Tests pour voir si ce que retourne le scrapper est conforme à ce qui est attendu</t>
  </si>
  <si>
    <t>Correction des bugs</t>
  </si>
  <si>
    <t>Séquence 8</t>
  </si>
  <si>
    <t>vendredi, 15 mars 2024</t>
  </si>
  <si>
    <t>Séquence 7</t>
  </si>
  <si>
    <t>vendredi, 8 mars 2024</t>
  </si>
  <si>
    <t>Séquence 6</t>
  </si>
  <si>
    <t>vendredi, 1 mars 2024</t>
  </si>
  <si>
    <t>Séquence 5</t>
  </si>
  <si>
    <t>vendredi, 23 février 2024</t>
  </si>
  <si>
    <t>Séquence 4</t>
  </si>
  <si>
    <t>vendredi, 9 février 2024</t>
  </si>
  <si>
    <t>vendredi, 2 février 2024</t>
  </si>
  <si>
    <t>Mise en place du journal de travail - planning</t>
  </si>
  <si>
    <t>Mise à jour du cahier des charges</t>
  </si>
  <si>
    <t>Mise à jour de journal de travail</t>
  </si>
  <si>
    <t>121h40min</t>
  </si>
  <si>
    <t>114h10min</t>
  </si>
  <si>
    <t>- 7h30min</t>
  </si>
  <si>
    <t>Mise à jour et approbation du cahier des charges</t>
  </si>
  <si>
    <t>https://eduvaud.sharepoint.com/sites/ETML_FIN-22-24_Teams/Documents%20partages/Forms/AllItems.aspx?id=%2Fsites%2FETML%5FFIN%2D22%2D24%5FTeams%2FDocuments%20partages%2FP%5FAppro1%2Ftemplates&amp;p=true&amp;ct=1706879681447&amp;or=Teams%2DHL&amp;ga=1</t>
  </si>
  <si>
    <t>Installations de BeautifulSoup, VS Code et GitHub Desktop</t>
  </si>
  <si>
    <t>https://code.visualstudio.com/ - https://beautiful-soup-4.readthedocs.io/en/latest/#making-the-soup - https://desktop.github.com/</t>
  </si>
  <si>
    <t>Consultation de la documentation</t>
  </si>
  <si>
    <t>https://docs.python.org/3/tutorial/index.html</t>
  </si>
  <si>
    <t>Création d'une branche dans le projet - "Scrapper"</t>
  </si>
  <si>
    <t>https://pypi.org/project/beautifulsoup4/
https://beautiful-soup-4.readthedocs.io/en/latest/</t>
  </si>
  <si>
    <t>Changement d'IDE VS code -&gt; Replit</t>
  </si>
  <si>
    <t>Consultation de la documentation python &amp; beautifulsoup4 + tuto comment faire un scrapper en python</t>
  </si>
  <si>
    <t>Mise en commentares des attributs des balises (tag) pour chaque information dans le code et ébauche d'une requête et d'une boucle pour parser la page principale</t>
  </si>
  <si>
    <t>https://replit.com/@Versailles404/p-appro-scrappy#main.py</t>
  </si>
  <si>
    <t>https://www.xarala.co/blog/lire-et-ecrire-des-fichiers-csv-avec-python-et-pandas/#:~:text=Comment%20%C3%A9crire%20des%20fichiers%20CSV%20avec%20le%20module,file%3A%20writer%20%3D%20csv.writer%28file%2C%20delimiter%3D%27%3B%27%29%20writer.writerow%28%5B%22nom%22%2C%20%22age%22%5D%29%20writer.writerows%28%29
https://code.tutsplus.com/fr/scraping-webpages-in-python-with-beautiful-soup-the-basics--cms-28211t
https://beautiful-soup-4.readthedocs.io/en/latest/#making-the-soup
https://www.w3schools.com/python/python_lists.asp</t>
  </si>
  <si>
    <t>Recherche comment regrouper les infos pour un objet dans une liste pour en faire une ligne dans le fichier .csv, comment écrire dans un .csv</t>
  </si>
  <si>
    <t>Ajout d'import, début mise en place d'une liste de propriétés par objets = une ligne dans le fichier .csv, ajout de variables</t>
  </si>
  <si>
    <t>Aide à une camarade de classe pour l'utilisation d'un logiciel de maquettes</t>
  </si>
  <si>
    <t>"Imprime" les métadonnées du fichier .csv correctement</t>
  </si>
  <si>
    <t>Recherche de comment séparer les infos différentes qui ont le même attribut de distinction, pour que ça corresponde aux métadonnées choisies</t>
  </si>
  <si>
    <t>https://code.tutsplus.com/scraping-webpages-in-python-with-beautiful-soup-search-and-dom-modification--cms-28276t</t>
  </si>
  <si>
    <t>https://www.digitec.ch/fr/s1/product/fantec-cl-35b2-nas-252743</t>
  </si>
  <si>
    <t>Recherche d'attributs/détails qui permettraient de regrouper les informations recherchée sur la page en lien. Chiffrée ? Langage ?
Typescript, Javascript
Structure de la page, chaque retour == indentation
Sous fr/s1/product
si pas dispo != pas parasble
si dispo == parsable
&lt;!DOCTYPE html&gt;
&lt;html class="digitec light-mode" lang="fr"&gt;
    &lt;head&gt;
 &lt;script id="__NEXT_DATA__" type="application/json"&gt;
  props
   apolloState
     ProductDetailOffer
     -Infos-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</si>
</sst>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u/>
      <sz val="10"/>
      <color indexed="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3" xfId="0" applyFont="1" applyFill="1" applyBorder="1" applyProtection="1"/>
    <xf numFmtId="0" fontId="2" fillId="6" borderId="0" xfId="0" applyFont="1" applyFill="1" applyBorder="1" applyProtection="1"/>
    <xf numFmtId="0" fontId="2" fillId="6" borderId="64" xfId="0" applyFont="1" applyFill="1" applyBorder="1" applyProtection="1"/>
    <xf numFmtId="0" fontId="2" fillId="6" borderId="4" xfId="0" applyFont="1" applyFill="1" applyBorder="1" applyProtection="1"/>
    <xf numFmtId="0" fontId="2" fillId="6" borderId="66" xfId="0" applyFont="1" applyFill="1" applyBorder="1" applyProtection="1"/>
    <xf numFmtId="1" fontId="7" fillId="0" borderId="39" xfId="0" applyNumberFormat="1" applyFont="1" applyFill="1" applyBorder="1" applyAlignment="1" applyProtection="1">
      <alignment horizontal="center" vertical="center"/>
    </xf>
    <xf numFmtId="1" fontId="7" fillId="0" borderId="66"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8" xfId="0" applyNumberFormat="1" applyFont="1" applyFill="1" applyBorder="1" applyAlignment="1" applyProtection="1">
      <alignment horizontal="center" vertical="center"/>
    </xf>
    <xf numFmtId="0" fontId="19" fillId="5" borderId="67" xfId="0" applyNumberFormat="1" applyFont="1" applyFill="1" applyBorder="1" applyAlignment="1" applyProtection="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0" xfId="0" applyFont="1" applyFill="1" applyBorder="1"/>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5"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lignment horizontal="center"/>
    </xf>
    <xf numFmtId="0" fontId="24" fillId="5" borderId="80"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4" xfId="0" applyFont="1" applyFill="1" applyBorder="1"/>
    <xf numFmtId="0" fontId="2" fillId="17" borderId="79" xfId="0" applyFont="1" applyFill="1" applyBorder="1"/>
    <xf numFmtId="0" fontId="2" fillId="17" borderId="25" xfId="0" applyFont="1" applyFill="1" applyBorder="1"/>
    <xf numFmtId="0" fontId="2" fillId="17" borderId="55" xfId="0" applyFont="1" applyFill="1" applyBorder="1"/>
    <xf numFmtId="0" fontId="2" fillId="17" borderId="24" xfId="0" applyFont="1" applyFill="1" applyBorder="1" applyProtection="1"/>
    <xf numFmtId="0" fontId="2" fillId="17" borderId="25" xfId="0" applyFont="1" applyFill="1" applyBorder="1" applyProtection="1"/>
    <xf numFmtId="0" fontId="2" fillId="17" borderId="72" xfId="0" applyFont="1" applyFill="1" applyBorder="1"/>
    <xf numFmtId="0" fontId="2" fillId="17" borderId="77" xfId="0" applyFont="1" applyFill="1" applyBorder="1"/>
    <xf numFmtId="2" fontId="12" fillId="18" borderId="62"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3" xfId="0" applyFont="1" applyFill="1" applyBorder="1"/>
    <xf numFmtId="0" fontId="2" fillId="19" borderId="19" xfId="0" applyFont="1" applyFill="1" applyBorder="1" applyProtection="1"/>
    <xf numFmtId="0" fontId="2" fillId="19" borderId="19" xfId="0" applyFont="1" applyFill="1" applyBorder="1"/>
    <xf numFmtId="0" fontId="2" fillId="19" borderId="71" xfId="0" applyFont="1" applyFill="1" applyBorder="1"/>
    <xf numFmtId="0" fontId="2" fillId="19" borderId="78" xfId="0" applyFont="1" applyFill="1" applyBorder="1"/>
    <xf numFmtId="0" fontId="2" fillId="19" borderId="56" xfId="0" applyFont="1" applyFill="1" applyBorder="1"/>
    <xf numFmtId="0" fontId="2" fillId="19" borderId="18" xfId="0" applyFont="1" applyFill="1" applyBorder="1" applyProtection="1"/>
    <xf numFmtId="0" fontId="2" fillId="19" borderId="76" xfId="0" applyFont="1" applyFill="1" applyBorder="1"/>
    <xf numFmtId="0" fontId="2" fillId="19" borderId="54" xfId="0" applyFont="1" applyFill="1" applyBorder="1"/>
    <xf numFmtId="0" fontId="4" fillId="3" borderId="0" xfId="0" applyFont="1" applyFill="1" applyAlignment="1">
      <alignment horizontal="center" vertical="center"/>
    </xf>
    <xf numFmtId="0" fontId="0" fillId="0" borderId="1"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2" fillId="0" borderId="2" xfId="0" applyFont="1" applyFill="1" applyBorder="1" applyAlignment="1" applyProtection="1">
      <alignment horizontal="left" vertical="center" wrapText="1"/>
      <protection locked="0"/>
    </xf>
    <xf numFmtId="0" fontId="2" fillId="0" borderId="3" xfId="0" applyFont="1" applyFill="1" applyBorder="1" applyAlignment="1" applyProtection="1">
      <alignment horizontal="left" vertical="center" wrapText="1"/>
      <protection locked="0"/>
    </xf>
    <xf numFmtId="0" fontId="8" fillId="4" borderId="17" xfId="0" applyNumberFormat="1" applyFont="1" applyFill="1" applyBorder="1" applyAlignment="1" applyProtection="1">
      <alignment horizontal="left" vertical="center" wrapText="1"/>
    </xf>
    <xf numFmtId="0" fontId="4" fillId="12" borderId="0" xfId="0" applyFont="1" applyFill="1" applyAlignment="1" applyProtection="1">
      <alignment horizontal="center" vertical="center"/>
    </xf>
    <xf numFmtId="0" fontId="4" fillId="15" borderId="0" xfId="0" applyFont="1" applyFill="1" applyAlignment="1">
      <alignment vertical="center"/>
    </xf>
    <xf numFmtId="0" fontId="2" fillId="0" borderId="83" xfId="1" applyFont="1" applyFill="1" applyBorder="1" applyAlignment="1" applyProtection="1">
      <alignment horizontal="center" vertical="center" wrapText="1"/>
      <protection locked="0"/>
    </xf>
    <xf numFmtId="0" fontId="2" fillId="0" borderId="83" xfId="0" applyFont="1" applyFill="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0" fillId="0" borderId="83" xfId="0" applyFont="1" applyFill="1" applyBorder="1" applyAlignment="1" applyProtection="1">
      <alignment horizontal="left" vertical="center" wrapText="1"/>
      <protection locked="0"/>
    </xf>
    <xf numFmtId="0" fontId="2" fillId="0" borderId="60"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165" fontId="7" fillId="8" borderId="46" xfId="0" applyNumberFormat="1" applyFont="1" applyFill="1" applyBorder="1" applyAlignment="1">
      <alignment horizontal="lef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6" fillId="8" borderId="46" xfId="0" applyFont="1" applyFill="1" applyBorder="1" applyAlignment="1">
      <alignment horizontal="center" vertical="center"/>
    </xf>
    <xf numFmtId="0" fontId="7" fillId="10" borderId="39" xfId="0" applyFont="1" applyFill="1" applyBorder="1" applyAlignment="1" applyProtection="1">
      <alignment horizontal="right" vertical="center" wrapText="1"/>
    </xf>
    <xf numFmtId="0" fontId="7" fillId="10" borderId="82"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0" xfId="0" applyFont="1" applyFill="1" applyBorder="1" applyAlignment="1" applyProtection="1">
      <alignment horizontal="center" vertical="center"/>
    </xf>
    <xf numFmtId="0" fontId="7" fillId="5" borderId="61" xfId="0" applyFont="1" applyFill="1" applyBorder="1" applyAlignment="1" applyProtection="1">
      <alignment horizontal="center" vertical="center"/>
    </xf>
    <xf numFmtId="0" fontId="7" fillId="5" borderId="66"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5" fillId="0" borderId="33" xfId="1"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Scraper</c:v>
              </c:pt>
              <c:pt idx="3">
                <c:v>Doc - Journal de travail</c:v>
              </c:pt>
              <c:pt idx="4">
                <c:v>Doc - Rapport</c:v>
              </c:pt>
              <c:pt idx="5">
                <c:v>Doc - Cahier des charges</c:v>
              </c:pt>
              <c:pt idx="6">
                <c:v>Admin - Mise en place de l'environnement</c:v>
              </c:pt>
              <c:pt idx="7">
                <c:v>Admin - Back-up</c:v>
              </c:pt>
              <c:pt idx="8">
                <c:v>Admin - Formation Python</c:v>
              </c:pt>
              <c:pt idx="9">
                <c:v>Tests</c:v>
              </c:pt>
            </c:strLit>
          </c:cat>
          <c:val>
            <c:numLit>
              <c:formatCode>General</c:formatCode>
              <c:ptCount val="11"/>
              <c:pt idx="0">
                <c:v>11.420000076293945</c:v>
              </c:pt>
              <c:pt idx="1">
                <c:v>12.579999923706055</c:v>
              </c:pt>
              <c:pt idx="2">
                <c:v>12.25</c:v>
              </c:pt>
              <c:pt idx="3">
                <c:v>12.420000076293945</c:v>
              </c:pt>
              <c:pt idx="4">
                <c:v>11.420000076293945</c:v>
              </c:pt>
              <c:pt idx="5">
                <c:v>12.829999923706055</c:v>
              </c:pt>
              <c:pt idx="6">
                <c:v>13.25</c:v>
              </c:pt>
              <c:pt idx="7">
                <c:v>11.5</c:v>
              </c:pt>
              <c:pt idx="8">
                <c:v>12.579999923706055</c:v>
              </c:pt>
              <c:pt idx="9">
                <c:v>11.420000076293945</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11.420000076293945</c:v>
              </c:pt>
              <c:pt idx="1">
                <c:v>11.420000076293945</c:v>
              </c:pt>
              <c:pt idx="2">
                <c:v>11.420000076293945</c:v>
              </c:pt>
              <c:pt idx="3">
                <c:v>11.420000076293945</c:v>
              </c:pt>
              <c:pt idx="4">
                <c:v>11.420000076293945</c:v>
              </c:pt>
              <c:pt idx="5">
                <c:v>11.420000076293945</c:v>
              </c:pt>
              <c:pt idx="6">
                <c:v>11.420000076293945</c:v>
              </c:pt>
              <c:pt idx="7">
                <c:v>11.420000076293945</c:v>
              </c:pt>
              <c:pt idx="8">
                <c:v>11.420000076293945</c:v>
              </c:pt>
              <c:pt idx="9">
                <c:v>11.420000076293945</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28724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replit.com/@Versailles404/p-appro-scrappy"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https://docs.python.org/3/tutorial/index.html" TargetMode="External"/><Relationship Id="rId1" Type="http://schemas.openxmlformats.org/officeDocument/2006/relationships/hyperlink" Target="https://eduvaud.sharepoint.com/sites/ETML_FIN-22-24_Teams/Documents%20partages/Forms/AllItems.aspx?id=%2Fsites%2FETML%5FFIN%2D22%2D24%5FTeams%2FDocuments%20partages%2FP%5FAppro1%2Ftemplates&amp;p=true&amp;ct=1706879681447&amp;or=Teams%2DHL&amp;ga=1" TargetMode="External"/><Relationship Id="rId6" Type="http://schemas.openxmlformats.org/officeDocument/2006/relationships/hyperlink" Target="https://www.digitec.ch/fr/s1/product/fantec-cl-35b2-nas-252743" TargetMode="External"/><Relationship Id="rId11" Type="http://schemas.openxmlformats.org/officeDocument/2006/relationships/image" Target="../media/image5.emf"/><Relationship Id="rId5" Type="http://schemas.openxmlformats.org/officeDocument/2006/relationships/hyperlink" Target="https://code.tutsplus.com/scraping-webpages-in-python-with-beautiful-soup-search-and-dom-modification--cms-28276t" TargetMode="External"/><Relationship Id="rId10" Type="http://schemas.openxmlformats.org/officeDocument/2006/relationships/control" Target="../activeX/activeX4.xml"/><Relationship Id="rId4" Type="http://schemas.openxmlformats.org/officeDocument/2006/relationships/hyperlink" Target="https://replit.com/@Versailles404/p-appro-scrappy"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E37" sqref="E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03" t="s">
        <v>33</v>
      </c>
      <c r="C35" s="203"/>
      <c r="D35" s="203"/>
      <c r="E35" s="106" t="s">
        <v>84</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04" t="s">
        <v>34</v>
      </c>
      <c r="C37" s="204"/>
      <c r="D37" s="204"/>
      <c r="E37" s="108" t="s">
        <v>85</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77" t="s">
        <v>86</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RR39"/>
  <sheetViews>
    <sheetView showGridLines="0" tabSelected="1" topLeftCell="CA1" zoomScale="55" zoomScaleNormal="55" zoomScaleSheetLayoutView="43" workbookViewId="0">
      <selection activeCell="F34" sqref="F34:RQ3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485" width="1.140625" style="3" customWidth="1"/>
    <col min="486" max="486" width="2.7109375" style="3" customWidth="1"/>
    <col min="487" max="16384" width="11.42578125" style="3"/>
  </cols>
  <sheetData>
    <row r="1" spans="1:486" ht="35.1" customHeight="1" x14ac:dyDescent="0.25">
      <c r="B1" s="95"/>
      <c r="C1" s="222" t="s">
        <v>31</v>
      </c>
      <c r="D1" s="222"/>
      <c r="E1" s="22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93">
        <v>1</v>
      </c>
    </row>
    <row r="2" spans="1:4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90"/>
    </row>
    <row r="3" spans="1:486" ht="30" customHeight="1" x14ac:dyDescent="0.25">
      <c r="B3" s="96"/>
      <c r="C3" s="7" t="s">
        <v>0</v>
      </c>
      <c r="D3" s="139"/>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90"/>
    </row>
    <row r="4" spans="1:486" ht="30" customHeight="1" x14ac:dyDescent="0.25">
      <c r="B4" s="96"/>
      <c r="C4" s="12" t="s">
        <v>6</v>
      </c>
      <c r="D4" s="140"/>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90"/>
    </row>
    <row r="5" spans="1:486" ht="30" customHeight="1" x14ac:dyDescent="0.25">
      <c r="B5" s="96"/>
      <c r="C5" s="12" t="s">
        <v>1</v>
      </c>
      <c r="D5" s="140"/>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90"/>
    </row>
    <row r="6" spans="1:48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90"/>
    </row>
    <row r="7" spans="1:486" ht="20.100000000000001" customHeight="1" thickBot="1" x14ac:dyDescent="0.3">
      <c r="B7" s="96"/>
      <c r="C7" s="223"/>
      <c r="D7" s="223"/>
      <c r="E7" s="22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90"/>
    </row>
    <row r="8" spans="1:486" ht="30" customHeight="1" x14ac:dyDescent="0.25">
      <c r="B8" s="96"/>
      <c r="C8" s="7" t="s">
        <v>3</v>
      </c>
      <c r="D8" s="139"/>
      <c r="E8" s="8" t="s">
        <v>42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90"/>
    </row>
    <row r="9" spans="1:486" ht="30" customHeight="1" x14ac:dyDescent="0.25">
      <c r="B9" s="96"/>
      <c r="C9" s="12" t="s">
        <v>18</v>
      </c>
      <c r="D9" s="140"/>
      <c r="E9" s="13" t="s">
        <v>22</v>
      </c>
      <c r="F9" s="14"/>
      <c r="G9" s="216" t="str">
        <f>E36</f>
        <v>12h</v>
      </c>
      <c r="H9" s="216"/>
      <c r="I9" s="216"/>
      <c r="J9" s="216"/>
      <c r="K9" s="216"/>
      <c r="L9" s="216"/>
      <c r="M9" s="216"/>
      <c r="N9" s="216"/>
      <c r="O9" s="216"/>
      <c r="P9" s="216"/>
      <c r="Q9" s="216"/>
      <c r="R9" s="216"/>
      <c r="S9" s="216"/>
      <c r="T9" s="216"/>
      <c r="U9" s="216"/>
      <c r="V9" s="118"/>
      <c r="W9" s="224" t="s">
        <v>23</v>
      </c>
      <c r="X9" s="224"/>
      <c r="Y9" s="224"/>
      <c r="Z9" s="224"/>
      <c r="AA9" s="224"/>
      <c r="AB9" s="224"/>
      <c r="AC9" s="224"/>
      <c r="AD9" s="224"/>
      <c r="AE9" s="224"/>
      <c r="AF9" s="224"/>
      <c r="AG9" s="224"/>
      <c r="AH9" s="216" t="str">
        <f>E38</f>
        <v>10h30min</v>
      </c>
      <c r="AI9" s="216"/>
      <c r="AJ9" s="216"/>
      <c r="AK9" s="216"/>
      <c r="AL9" s="216"/>
      <c r="AM9" s="216"/>
      <c r="AN9" s="216"/>
      <c r="AO9" s="216"/>
      <c r="AP9" s="216"/>
      <c r="AQ9" s="216"/>
      <c r="AR9" s="216"/>
      <c r="AS9" s="216"/>
      <c r="AT9" s="216"/>
      <c r="AU9" s="216"/>
      <c r="AV9" s="216"/>
      <c r="AW9" s="216"/>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90"/>
    </row>
    <row r="10" spans="1:48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3"/>
      <c r="BO10" s="213"/>
      <c r="BP10" s="213"/>
      <c r="BQ10" s="213"/>
      <c r="BR10" s="213"/>
      <c r="BS10" s="213"/>
      <c r="BT10" s="213"/>
      <c r="BU10" s="213"/>
      <c r="BV10" s="213"/>
      <c r="BW10" s="213"/>
      <c r="BX10" s="213"/>
      <c r="BY10" s="213"/>
      <c r="BZ10" s="213"/>
      <c r="CA10" s="213"/>
      <c r="CB10" s="213"/>
      <c r="CC10" s="213"/>
      <c r="CD10" s="213"/>
      <c r="CE10" s="213"/>
      <c r="CF10" s="213"/>
      <c r="CG10" s="213"/>
      <c r="CH10" s="213"/>
      <c r="CI10" s="213"/>
      <c r="CJ10" s="213"/>
      <c r="CK10" s="213"/>
      <c r="CL10" s="213"/>
      <c r="CM10" s="213"/>
      <c r="CN10" s="213"/>
      <c r="CO10" s="213"/>
      <c r="CP10" s="213"/>
      <c r="CQ10" s="92"/>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c r="EE10" s="205"/>
      <c r="EF10" s="205"/>
      <c r="EG10" s="205"/>
      <c r="EH10" s="205"/>
      <c r="EI10" s="205"/>
      <c r="EJ10" s="205"/>
      <c r="EK10" s="205"/>
      <c r="EL10" s="205"/>
      <c r="EM10" s="205"/>
      <c r="EN10" s="205"/>
      <c r="EO10" s="205"/>
      <c r="EP10" s="205"/>
      <c r="EQ10" s="205"/>
      <c r="ER10" s="205"/>
      <c r="ES10" s="205"/>
      <c r="ET10" s="205"/>
      <c r="EU10" s="205"/>
      <c r="EV10" s="205"/>
      <c r="EW10" s="205"/>
      <c r="EX10" s="205"/>
      <c r="EY10" s="205"/>
      <c r="EZ10" s="205"/>
      <c r="FA10" s="205"/>
      <c r="FB10" s="205"/>
      <c r="FC10" s="205"/>
      <c r="FD10" s="205"/>
      <c r="FE10" s="205"/>
      <c r="FF10" s="205"/>
      <c r="FG10" s="205"/>
      <c r="FH10" s="205"/>
      <c r="FI10" s="205"/>
      <c r="FJ10" s="205"/>
      <c r="FK10" s="205"/>
      <c r="FL10" s="205"/>
      <c r="FM10" s="205"/>
      <c r="FN10" s="205"/>
      <c r="FO10" s="205"/>
      <c r="FP10" s="205"/>
      <c r="FQ10" s="205"/>
      <c r="FR10" s="205"/>
      <c r="FS10" s="205"/>
      <c r="FT10" s="205"/>
      <c r="FU10" s="205"/>
      <c r="FV10" s="205"/>
      <c r="FW10" s="205"/>
      <c r="FX10" s="205"/>
      <c r="FY10" s="205"/>
      <c r="FZ10" s="205"/>
      <c r="GA10" s="205"/>
      <c r="GB10" s="205"/>
      <c r="GC10" s="205"/>
      <c r="GD10" s="205"/>
      <c r="GE10" s="205"/>
      <c r="GF10" s="205"/>
      <c r="GG10" s="205"/>
      <c r="GH10" s="205"/>
      <c r="GI10" s="205"/>
      <c r="GJ10" s="205"/>
      <c r="GK10" s="205"/>
      <c r="GL10" s="205"/>
      <c r="GM10" s="205"/>
      <c r="GN10" s="205"/>
      <c r="GO10" s="205"/>
      <c r="GP10" s="205"/>
      <c r="GQ10" s="205"/>
      <c r="GR10" s="205"/>
      <c r="GS10" s="205"/>
      <c r="GT10" s="205"/>
      <c r="GU10" s="205"/>
      <c r="GV10" s="205"/>
      <c r="GW10" s="205"/>
      <c r="GX10" s="205"/>
      <c r="GY10" s="205"/>
      <c r="GZ10" s="205"/>
      <c r="HA10" s="205"/>
      <c r="HB10" s="205"/>
      <c r="HC10" s="205"/>
      <c r="HD10" s="205"/>
      <c r="HE10" s="205"/>
      <c r="HF10" s="205"/>
      <c r="HG10" s="205"/>
      <c r="HH10" s="205"/>
      <c r="HI10" s="205"/>
      <c r="HJ10" s="205"/>
      <c r="HK10" s="205"/>
      <c r="HL10" s="205"/>
      <c r="HM10" s="205"/>
      <c r="HN10" s="205"/>
      <c r="HO10" s="205"/>
      <c r="HP10" s="205"/>
      <c r="HQ10" s="205"/>
      <c r="HR10" s="205"/>
      <c r="HS10" s="205"/>
      <c r="HT10" s="205"/>
      <c r="HU10" s="205"/>
      <c r="HV10" s="205"/>
      <c r="HW10" s="205"/>
      <c r="HX10" s="205"/>
      <c r="HY10" s="205"/>
      <c r="HZ10" s="205"/>
      <c r="IA10" s="205"/>
      <c r="IB10" s="205"/>
      <c r="IC10" s="205"/>
      <c r="ID10" s="205"/>
      <c r="IE10" s="205"/>
      <c r="IF10" s="205"/>
      <c r="IG10" s="205"/>
      <c r="IH10" s="205"/>
      <c r="II10" s="205"/>
      <c r="IJ10" s="205"/>
      <c r="IK10" s="205"/>
      <c r="IL10" s="205"/>
      <c r="IM10" s="205"/>
      <c r="IN10" s="205"/>
      <c r="IO10" s="205"/>
      <c r="IP10" s="205"/>
      <c r="IQ10" s="205"/>
      <c r="IR10" s="205"/>
      <c r="IS10" s="205"/>
      <c r="IT10" s="205"/>
      <c r="IU10" s="205"/>
      <c r="IV10" s="205"/>
      <c r="IW10" s="205"/>
      <c r="IX10" s="205"/>
      <c r="IY10" s="205"/>
      <c r="IZ10" s="205"/>
      <c r="JA10" s="205"/>
      <c r="JB10" s="205"/>
      <c r="JC10" s="205"/>
      <c r="JD10" s="205"/>
      <c r="JE10" s="205"/>
      <c r="JF10" s="205"/>
      <c r="JG10" s="205"/>
      <c r="JH10" s="205"/>
      <c r="JI10" s="205"/>
      <c r="JJ10" s="205"/>
      <c r="JK10" s="205"/>
      <c r="JL10" s="205"/>
      <c r="JM10" s="205"/>
      <c r="JN10" s="205"/>
      <c r="JO10" s="205"/>
      <c r="JP10" s="205"/>
      <c r="JQ10" s="205"/>
      <c r="JR10" s="205"/>
      <c r="JS10" s="205"/>
      <c r="JT10" s="205"/>
      <c r="JU10" s="205"/>
      <c r="JV10" s="205"/>
      <c r="JW10" s="205"/>
      <c r="JX10" s="205"/>
      <c r="JY10" s="205"/>
      <c r="JZ10" s="205"/>
      <c r="KA10" s="205"/>
      <c r="KB10" s="205"/>
      <c r="KC10" s="205"/>
      <c r="KD10" s="205"/>
      <c r="KE10" s="205"/>
      <c r="KF10" s="205"/>
      <c r="KG10" s="205"/>
      <c r="KH10" s="205"/>
      <c r="KI10" s="205"/>
      <c r="KJ10" s="205"/>
      <c r="KK10" s="205"/>
      <c r="KL10" s="205"/>
      <c r="KM10" s="205"/>
      <c r="KN10" s="205"/>
      <c r="KO10" s="205"/>
      <c r="KP10" s="205"/>
      <c r="KQ10" s="205"/>
      <c r="KR10" s="205"/>
      <c r="KS10" s="205"/>
      <c r="KT10" s="205"/>
      <c r="KU10" s="205"/>
      <c r="KV10" s="205"/>
      <c r="KW10" s="205"/>
      <c r="KX10" s="205"/>
      <c r="KY10" s="205"/>
      <c r="KZ10" s="205"/>
      <c r="LA10" s="205"/>
      <c r="LB10" s="205"/>
      <c r="LC10" s="205"/>
      <c r="LD10" s="205"/>
      <c r="LE10" s="205"/>
      <c r="LF10" s="205"/>
      <c r="LG10" s="205"/>
      <c r="LH10" s="205"/>
      <c r="LI10" s="205"/>
      <c r="LJ10" s="205"/>
      <c r="LK10" s="205"/>
      <c r="LL10" s="205"/>
      <c r="LM10" s="205"/>
      <c r="LN10" s="205"/>
      <c r="LO10" s="205"/>
      <c r="LP10" s="205"/>
      <c r="LQ10" s="205"/>
      <c r="LR10" s="205"/>
      <c r="LS10" s="205"/>
      <c r="LT10" s="205"/>
      <c r="LU10" s="205"/>
      <c r="LV10" s="205"/>
      <c r="LW10" s="205"/>
      <c r="LX10" s="205"/>
      <c r="LY10" s="205"/>
      <c r="LZ10" s="205"/>
      <c r="MA10" s="205"/>
      <c r="MB10" s="205"/>
      <c r="MC10" s="205"/>
      <c r="MD10" s="205"/>
      <c r="ME10" s="205"/>
      <c r="MF10" s="205"/>
      <c r="MG10" s="205"/>
      <c r="MH10" s="205"/>
      <c r="MI10" s="205"/>
      <c r="MJ10" s="205"/>
      <c r="MK10" s="205"/>
      <c r="ML10" s="205"/>
      <c r="MM10" s="205"/>
      <c r="MN10" s="205"/>
      <c r="MO10" s="205"/>
      <c r="MP10" s="205"/>
      <c r="MQ10" s="205"/>
      <c r="MR10" s="205"/>
      <c r="MS10" s="205"/>
      <c r="MT10" s="205"/>
      <c r="MU10" s="205"/>
      <c r="MV10" s="205"/>
      <c r="MW10" s="205"/>
      <c r="MX10" s="205"/>
      <c r="MY10" s="205"/>
      <c r="MZ10" s="205"/>
      <c r="NA10" s="205"/>
      <c r="NB10" s="205"/>
      <c r="NC10" s="205"/>
      <c r="ND10" s="205"/>
      <c r="NE10" s="205"/>
      <c r="NF10" s="205"/>
      <c r="NG10" s="205"/>
      <c r="NH10" s="205"/>
      <c r="NI10" s="205"/>
      <c r="NJ10" s="205"/>
      <c r="NK10" s="205"/>
      <c r="NL10" s="205"/>
      <c r="NM10" s="205"/>
      <c r="NN10" s="205"/>
      <c r="NO10" s="205"/>
      <c r="NP10" s="205"/>
      <c r="NQ10" s="205"/>
      <c r="NR10" s="205"/>
      <c r="NS10" s="205"/>
      <c r="NT10" s="205"/>
      <c r="NU10" s="205"/>
      <c r="NV10" s="205"/>
      <c r="NW10" s="205"/>
      <c r="NX10" s="205"/>
      <c r="NY10" s="205"/>
      <c r="NZ10" s="205"/>
      <c r="OA10" s="205"/>
      <c r="OB10" s="205"/>
      <c r="OC10" s="205"/>
      <c r="OD10" s="205"/>
      <c r="OE10" s="205"/>
      <c r="OF10" s="205"/>
      <c r="OG10" s="205"/>
      <c r="OH10" s="205"/>
      <c r="OI10" s="205"/>
      <c r="OJ10" s="205"/>
      <c r="OK10" s="205"/>
      <c r="OL10" s="205"/>
      <c r="OM10" s="205"/>
      <c r="ON10" s="205"/>
      <c r="OO10" s="205"/>
      <c r="OP10" s="205"/>
      <c r="OQ10" s="205"/>
      <c r="OR10" s="205"/>
      <c r="OS10" s="205"/>
      <c r="OT10" s="205"/>
      <c r="OU10" s="205"/>
      <c r="OV10" s="205"/>
      <c r="OW10" s="205"/>
      <c r="OX10" s="205"/>
      <c r="OY10" s="205"/>
      <c r="OZ10" s="205"/>
      <c r="PA10" s="205"/>
      <c r="PB10" s="205"/>
      <c r="PC10" s="205"/>
      <c r="PD10" s="205"/>
      <c r="PE10" s="205"/>
      <c r="PF10" s="205"/>
      <c r="PG10" s="205"/>
      <c r="PH10" s="205"/>
      <c r="PI10" s="205"/>
      <c r="PJ10" s="205"/>
      <c r="PK10" s="205"/>
      <c r="PL10" s="205"/>
      <c r="PM10" s="205"/>
      <c r="PN10" s="205"/>
      <c r="PO10" s="205"/>
      <c r="PP10" s="205"/>
      <c r="PQ10" s="205"/>
      <c r="PR10" s="205"/>
      <c r="PS10" s="205"/>
      <c r="PT10" s="205"/>
      <c r="PU10" s="205"/>
      <c r="PV10" s="205"/>
      <c r="PW10" s="205"/>
      <c r="PX10" s="205"/>
      <c r="PY10" s="205"/>
      <c r="PZ10" s="205"/>
      <c r="QA10" s="205"/>
      <c r="QB10" s="205"/>
      <c r="QC10" s="205"/>
      <c r="QD10" s="205"/>
      <c r="QE10" s="205"/>
      <c r="QF10" s="205"/>
      <c r="QG10" s="205"/>
      <c r="QH10" s="205"/>
      <c r="QI10" s="205"/>
      <c r="QJ10" s="205"/>
      <c r="QK10" s="205"/>
      <c r="QL10" s="205"/>
      <c r="QM10" s="205"/>
      <c r="QN10" s="205"/>
      <c r="QO10" s="205"/>
      <c r="QP10" s="205"/>
      <c r="QQ10" s="205"/>
      <c r="QR10" s="205"/>
      <c r="QS10" s="205"/>
      <c r="QT10" s="205"/>
      <c r="QU10" s="205"/>
      <c r="QV10" s="205"/>
      <c r="QW10" s="205"/>
      <c r="QX10" s="205"/>
      <c r="QY10" s="205"/>
      <c r="QZ10" s="205"/>
      <c r="RA10" s="205"/>
      <c r="RB10" s="205"/>
      <c r="RC10" s="205"/>
      <c r="RD10" s="205"/>
      <c r="RE10" s="205"/>
      <c r="RF10" s="205"/>
      <c r="RG10" s="205"/>
      <c r="RH10" s="205"/>
      <c r="RI10" s="205"/>
      <c r="RJ10" s="205"/>
      <c r="RK10" s="205"/>
      <c r="RL10" s="205"/>
      <c r="RM10" s="205"/>
      <c r="RN10" s="205"/>
      <c r="RO10" s="205"/>
      <c r="RP10" s="205"/>
      <c r="RQ10" s="205"/>
      <c r="RR10" s="90"/>
    </row>
    <row r="11" spans="1:486" ht="20.100000000000001" customHeight="1" x14ac:dyDescent="0.25">
      <c r="B11" s="96"/>
      <c r="C11" s="220"/>
      <c r="D11" s="220"/>
      <c r="E11" s="220"/>
      <c r="F11" s="214" t="s">
        <v>49</v>
      </c>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t="s">
        <v>48</v>
      </c>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c r="DU11" s="214"/>
      <c r="DV11" s="206" t="s">
        <v>80</v>
      </c>
      <c r="DW11" s="206"/>
      <c r="DX11" s="206"/>
      <c r="DY11" s="206"/>
      <c r="DZ11" s="206"/>
      <c r="EA11" s="206"/>
      <c r="EB11" s="206"/>
      <c r="EC11" s="206"/>
      <c r="ED11" s="206"/>
      <c r="EE11" s="206"/>
      <c r="EF11" s="206"/>
      <c r="EG11" s="206"/>
      <c r="EH11" s="206"/>
      <c r="EI11" s="206"/>
      <c r="EJ11" s="206"/>
      <c r="EK11" s="206"/>
      <c r="EL11" s="206"/>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6"/>
      <c r="FP11" s="206"/>
      <c r="FQ11" s="206"/>
      <c r="FR11" s="206"/>
      <c r="FS11" s="206"/>
      <c r="FT11" s="206"/>
      <c r="FU11" s="206"/>
      <c r="FV11" s="206"/>
      <c r="FW11" s="206"/>
      <c r="FX11" s="206"/>
      <c r="FY11" s="206"/>
      <c r="FZ11" s="206"/>
      <c r="GA11" s="206"/>
      <c r="GB11" s="206"/>
      <c r="GC11" s="206"/>
      <c r="GD11" s="206" t="s">
        <v>79</v>
      </c>
      <c r="GE11" s="206"/>
      <c r="GF11" s="206"/>
      <c r="GG11" s="206"/>
      <c r="GH11" s="206"/>
      <c r="GI11" s="206"/>
      <c r="GJ11" s="206"/>
      <c r="GK11" s="206"/>
      <c r="GL11" s="206"/>
      <c r="GM11" s="206"/>
      <c r="GN11" s="206"/>
      <c r="GO11" s="206"/>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206"/>
      <c r="HS11" s="206"/>
      <c r="HT11" s="206"/>
      <c r="HU11" s="206"/>
      <c r="HV11" s="206"/>
      <c r="HW11" s="206"/>
      <c r="HX11" s="206"/>
      <c r="HY11" s="206"/>
      <c r="HZ11" s="206"/>
      <c r="IA11" s="206"/>
      <c r="IB11" s="206"/>
      <c r="IC11" s="206"/>
      <c r="ID11" s="206"/>
      <c r="IE11" s="206"/>
      <c r="IF11" s="206"/>
      <c r="IG11" s="206"/>
      <c r="IH11" s="206"/>
      <c r="II11" s="206"/>
      <c r="IJ11" s="206"/>
      <c r="IK11" s="206"/>
      <c r="IL11" s="206" t="s">
        <v>77</v>
      </c>
      <c r="IM11" s="206"/>
      <c r="IN11" s="206"/>
      <c r="IO11" s="206"/>
      <c r="IP11" s="206"/>
      <c r="IQ11" s="206"/>
      <c r="IR11" s="206"/>
      <c r="IS11" s="206"/>
      <c r="IT11" s="206"/>
      <c r="IU11" s="206"/>
      <c r="IV11" s="206"/>
      <c r="IW11" s="206"/>
      <c r="IX11" s="206"/>
      <c r="IY11" s="206"/>
      <c r="IZ11" s="206"/>
      <c r="JA11" s="206"/>
      <c r="JB11" s="206"/>
      <c r="JC11" s="206"/>
      <c r="JD11" s="206"/>
      <c r="JE11" s="206"/>
      <c r="JF11" s="206"/>
      <c r="JG11" s="206"/>
      <c r="JH11" s="206"/>
      <c r="JI11" s="206"/>
      <c r="JJ11" s="206"/>
      <c r="JK11" s="206"/>
      <c r="JL11" s="206"/>
      <c r="JM11" s="206"/>
      <c r="JN11" s="206"/>
      <c r="JO11" s="206"/>
      <c r="JP11" s="206"/>
      <c r="JQ11" s="206"/>
      <c r="JR11" s="206"/>
      <c r="JS11" s="206"/>
      <c r="JT11" s="206"/>
      <c r="JU11" s="206"/>
      <c r="JV11" s="206"/>
      <c r="JW11" s="206"/>
      <c r="JX11" s="206"/>
      <c r="JY11" s="206"/>
      <c r="JZ11" s="206"/>
      <c r="KA11" s="206"/>
      <c r="KB11" s="206"/>
      <c r="KC11" s="206"/>
      <c r="KD11" s="206"/>
      <c r="KE11" s="206"/>
      <c r="KF11" s="206"/>
      <c r="KG11" s="206"/>
      <c r="KH11" s="206"/>
      <c r="KI11" s="206"/>
      <c r="KJ11" s="206"/>
      <c r="KK11" s="206"/>
      <c r="KL11" s="206"/>
      <c r="KM11" s="206"/>
      <c r="KN11" s="206"/>
      <c r="KO11" s="206"/>
      <c r="KP11" s="206"/>
      <c r="KQ11" s="206"/>
      <c r="KR11" s="206"/>
      <c r="KS11" s="206"/>
      <c r="KT11" s="206" t="s">
        <v>75</v>
      </c>
      <c r="KU11" s="206"/>
      <c r="KV11" s="206"/>
      <c r="KW11" s="206"/>
      <c r="KX11" s="206"/>
      <c r="KY11" s="206"/>
      <c r="KZ11" s="206"/>
      <c r="LA11" s="206"/>
      <c r="LB11" s="206"/>
      <c r="LC11" s="206"/>
      <c r="LD11" s="206"/>
      <c r="LE11" s="206"/>
      <c r="LF11" s="206"/>
      <c r="LG11" s="206"/>
      <c r="LH11" s="206"/>
      <c r="LI11" s="206"/>
      <c r="LJ11" s="206"/>
      <c r="LK11" s="206"/>
      <c r="LL11" s="206"/>
      <c r="LM11" s="206"/>
      <c r="LN11" s="206"/>
      <c r="LO11" s="206"/>
      <c r="LP11" s="206"/>
      <c r="LQ11" s="206"/>
      <c r="LR11" s="206"/>
      <c r="LS11" s="206"/>
      <c r="LT11" s="206"/>
      <c r="LU11" s="206"/>
      <c r="LV11" s="206"/>
      <c r="LW11" s="206"/>
      <c r="LX11" s="206"/>
      <c r="LY11" s="206"/>
      <c r="LZ11" s="206"/>
      <c r="MA11" s="206"/>
      <c r="MB11" s="206"/>
      <c r="MC11" s="206"/>
      <c r="MD11" s="206"/>
      <c r="ME11" s="206"/>
      <c r="MF11" s="206"/>
      <c r="MG11" s="206"/>
      <c r="MH11" s="206"/>
      <c r="MI11" s="206"/>
      <c r="MJ11" s="206"/>
      <c r="MK11" s="206"/>
      <c r="ML11" s="206"/>
      <c r="MM11" s="206"/>
      <c r="MN11" s="206"/>
      <c r="MO11" s="206"/>
      <c r="MP11" s="206"/>
      <c r="MQ11" s="206"/>
      <c r="MR11" s="206"/>
      <c r="MS11" s="206"/>
      <c r="MT11" s="206"/>
      <c r="MU11" s="206"/>
      <c r="MV11" s="206"/>
      <c r="MW11" s="206"/>
      <c r="MX11" s="206"/>
      <c r="MY11" s="206"/>
      <c r="MZ11" s="206"/>
      <c r="NA11" s="206"/>
      <c r="NB11" s="206" t="s">
        <v>73</v>
      </c>
      <c r="NC11" s="206"/>
      <c r="ND11" s="206"/>
      <c r="NE11" s="206"/>
      <c r="NF11" s="206"/>
      <c r="NG11" s="206"/>
      <c r="NH11" s="206"/>
      <c r="NI11" s="206"/>
      <c r="NJ11" s="206"/>
      <c r="NK11" s="206"/>
      <c r="NL11" s="206"/>
      <c r="NM11" s="206"/>
      <c r="NN11" s="206"/>
      <c r="NO11" s="206"/>
      <c r="NP11" s="206"/>
      <c r="NQ11" s="206"/>
      <c r="NR11" s="206"/>
      <c r="NS11" s="206"/>
      <c r="NT11" s="206"/>
      <c r="NU11" s="206"/>
      <c r="NV11" s="206"/>
      <c r="NW11" s="206"/>
      <c r="NX11" s="206"/>
      <c r="NY11" s="206"/>
      <c r="NZ11" s="206"/>
      <c r="OA11" s="206"/>
      <c r="OB11" s="206"/>
      <c r="OC11" s="206"/>
      <c r="OD11" s="206"/>
      <c r="OE11" s="206"/>
      <c r="OF11" s="206"/>
      <c r="OG11" s="206"/>
      <c r="OH11" s="206"/>
      <c r="OI11" s="206"/>
      <c r="OJ11" s="206"/>
      <c r="OK11" s="206"/>
      <c r="OL11" s="206"/>
      <c r="OM11" s="206"/>
      <c r="ON11" s="206"/>
      <c r="OO11" s="206"/>
      <c r="OP11" s="206"/>
      <c r="OQ11" s="206"/>
      <c r="OR11" s="206"/>
      <c r="OS11" s="206"/>
      <c r="OT11" s="206"/>
      <c r="OU11" s="206"/>
      <c r="OV11" s="206"/>
      <c r="OW11" s="206"/>
      <c r="OX11" s="206"/>
      <c r="OY11" s="206"/>
      <c r="OZ11" s="206"/>
      <c r="PA11" s="206"/>
      <c r="PB11" s="206"/>
      <c r="PC11" s="206"/>
      <c r="PD11" s="206"/>
      <c r="PE11" s="206"/>
      <c r="PF11" s="206"/>
      <c r="PG11" s="206"/>
      <c r="PH11" s="206"/>
      <c r="PI11" s="206"/>
      <c r="PJ11" s="206" t="s">
        <v>71</v>
      </c>
      <c r="PK11" s="206"/>
      <c r="PL11" s="206"/>
      <c r="PM11" s="206"/>
      <c r="PN11" s="206"/>
      <c r="PO11" s="206"/>
      <c r="PP11" s="206"/>
      <c r="PQ11" s="206"/>
      <c r="PR11" s="206"/>
      <c r="PS11" s="206"/>
      <c r="PT11" s="206"/>
      <c r="PU11" s="206"/>
      <c r="PV11" s="206"/>
      <c r="PW11" s="206"/>
      <c r="PX11" s="206"/>
      <c r="PY11" s="206"/>
      <c r="PZ11" s="206"/>
      <c r="QA11" s="206"/>
      <c r="QB11" s="206"/>
      <c r="QC11" s="206"/>
      <c r="QD11" s="206"/>
      <c r="QE11" s="206"/>
      <c r="QF11" s="206"/>
      <c r="QG11" s="206"/>
      <c r="QH11" s="206"/>
      <c r="QI11" s="206"/>
      <c r="QJ11" s="206"/>
      <c r="QK11" s="206"/>
      <c r="QL11" s="206"/>
      <c r="QM11" s="206"/>
      <c r="QN11" s="206"/>
      <c r="QO11" s="206"/>
      <c r="QP11" s="206"/>
      <c r="QQ11" s="206"/>
      <c r="QR11" s="206"/>
      <c r="QS11" s="206"/>
      <c r="QT11" s="206"/>
      <c r="QU11" s="206"/>
      <c r="QV11" s="206"/>
      <c r="QW11" s="206"/>
      <c r="QX11" s="206"/>
      <c r="QY11" s="206"/>
      <c r="QZ11" s="206"/>
      <c r="RA11" s="206"/>
      <c r="RB11" s="206"/>
      <c r="RC11" s="206"/>
      <c r="RD11" s="206"/>
      <c r="RE11" s="206"/>
      <c r="RF11" s="206"/>
      <c r="RG11" s="206"/>
      <c r="RH11" s="206"/>
      <c r="RI11" s="206"/>
      <c r="RJ11" s="206"/>
      <c r="RK11" s="206"/>
      <c r="RL11" s="206"/>
      <c r="RM11" s="206"/>
      <c r="RN11" s="206"/>
      <c r="RO11" s="206"/>
      <c r="RP11" s="206"/>
      <c r="RQ11" s="206"/>
      <c r="RR11" s="90"/>
    </row>
    <row r="12" spans="1:486" ht="15.75" customHeight="1" thickBot="1" x14ac:dyDescent="0.3">
      <c r="B12" s="97"/>
      <c r="C12" s="221"/>
      <c r="D12" s="221"/>
      <c r="E12" s="221"/>
      <c r="F12" s="215" t="s">
        <v>47</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47</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207" t="s">
        <v>47</v>
      </c>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07" t="s">
        <v>47</v>
      </c>
      <c r="GE12" s="207"/>
      <c r="GF12" s="207"/>
      <c r="GG12" s="207"/>
      <c r="GH12" s="207"/>
      <c r="GI12" s="207"/>
      <c r="GJ12" s="207"/>
      <c r="GK12" s="207"/>
      <c r="GL12" s="207"/>
      <c r="GM12" s="207"/>
      <c r="GN12" s="207"/>
      <c r="GO12" s="207"/>
      <c r="GP12" s="207"/>
      <c r="GQ12" s="207"/>
      <c r="GR12" s="207"/>
      <c r="GS12" s="207"/>
      <c r="GT12" s="207"/>
      <c r="GU12" s="207"/>
      <c r="GV12" s="207"/>
      <c r="GW12" s="207"/>
      <c r="GX12" s="207"/>
      <c r="GY12" s="207"/>
      <c r="GZ12" s="207"/>
      <c r="HA12" s="207"/>
      <c r="HB12" s="207"/>
      <c r="HC12" s="207"/>
      <c r="HD12" s="207"/>
      <c r="HE12" s="207"/>
      <c r="HF12" s="207"/>
      <c r="HG12" s="207"/>
      <c r="HH12" s="207"/>
      <c r="HI12" s="207"/>
      <c r="HJ12" s="207"/>
      <c r="HK12" s="207"/>
      <c r="HL12" s="207"/>
      <c r="HM12" s="207"/>
      <c r="HN12" s="207"/>
      <c r="HO12" s="207"/>
      <c r="HP12" s="207"/>
      <c r="HQ12" s="207"/>
      <c r="HR12" s="207"/>
      <c r="HS12" s="207"/>
      <c r="HT12" s="207"/>
      <c r="HU12" s="207"/>
      <c r="HV12" s="207"/>
      <c r="HW12" s="207"/>
      <c r="HX12" s="207"/>
      <c r="HY12" s="207"/>
      <c r="HZ12" s="207"/>
      <c r="IA12" s="207"/>
      <c r="IB12" s="207"/>
      <c r="IC12" s="207"/>
      <c r="ID12" s="207"/>
      <c r="IE12" s="207"/>
      <c r="IF12" s="207"/>
      <c r="IG12" s="207"/>
      <c r="IH12" s="207"/>
      <c r="II12" s="207"/>
      <c r="IJ12" s="207"/>
      <c r="IK12" s="207"/>
      <c r="IL12" s="207" t="s">
        <v>47</v>
      </c>
      <c r="IM12" s="207"/>
      <c r="IN12" s="207"/>
      <c r="IO12" s="207"/>
      <c r="IP12" s="207"/>
      <c r="IQ12" s="207"/>
      <c r="IR12" s="207"/>
      <c r="IS12" s="207"/>
      <c r="IT12" s="207"/>
      <c r="IU12" s="207"/>
      <c r="IV12" s="207"/>
      <c r="IW12" s="207"/>
      <c r="IX12" s="207"/>
      <c r="IY12" s="207"/>
      <c r="IZ12" s="207"/>
      <c r="JA12" s="207"/>
      <c r="JB12" s="207"/>
      <c r="JC12" s="207"/>
      <c r="JD12" s="207"/>
      <c r="JE12" s="207"/>
      <c r="JF12" s="207"/>
      <c r="JG12" s="207"/>
      <c r="JH12" s="207"/>
      <c r="JI12" s="207"/>
      <c r="JJ12" s="207"/>
      <c r="JK12" s="207"/>
      <c r="JL12" s="207"/>
      <c r="JM12" s="207"/>
      <c r="JN12" s="207"/>
      <c r="JO12" s="207"/>
      <c r="JP12" s="207"/>
      <c r="JQ12" s="207"/>
      <c r="JR12" s="207"/>
      <c r="JS12" s="207"/>
      <c r="JT12" s="207"/>
      <c r="JU12" s="207"/>
      <c r="JV12" s="207"/>
      <c r="JW12" s="207"/>
      <c r="JX12" s="207"/>
      <c r="JY12" s="207"/>
      <c r="JZ12" s="207"/>
      <c r="KA12" s="207"/>
      <c r="KB12" s="207"/>
      <c r="KC12" s="207"/>
      <c r="KD12" s="207"/>
      <c r="KE12" s="207"/>
      <c r="KF12" s="207"/>
      <c r="KG12" s="207"/>
      <c r="KH12" s="207"/>
      <c r="KI12" s="207"/>
      <c r="KJ12" s="207"/>
      <c r="KK12" s="207"/>
      <c r="KL12" s="207"/>
      <c r="KM12" s="207"/>
      <c r="KN12" s="207"/>
      <c r="KO12" s="207"/>
      <c r="KP12" s="207"/>
      <c r="KQ12" s="207"/>
      <c r="KR12" s="207"/>
      <c r="KS12" s="207"/>
      <c r="KT12" s="207" t="s">
        <v>47</v>
      </c>
      <c r="KU12" s="207"/>
      <c r="KV12" s="207"/>
      <c r="KW12" s="207"/>
      <c r="KX12" s="207"/>
      <c r="KY12" s="207"/>
      <c r="KZ12" s="207"/>
      <c r="LA12" s="207"/>
      <c r="LB12" s="207"/>
      <c r="LC12" s="207"/>
      <c r="LD12" s="207"/>
      <c r="LE12" s="207"/>
      <c r="LF12" s="207"/>
      <c r="LG12" s="207"/>
      <c r="LH12" s="207"/>
      <c r="LI12" s="207"/>
      <c r="LJ12" s="207"/>
      <c r="LK12" s="207"/>
      <c r="LL12" s="207"/>
      <c r="LM12" s="207"/>
      <c r="LN12" s="207"/>
      <c r="LO12" s="207"/>
      <c r="LP12" s="207"/>
      <c r="LQ12" s="207"/>
      <c r="LR12" s="207"/>
      <c r="LS12" s="207"/>
      <c r="LT12" s="207"/>
      <c r="LU12" s="207"/>
      <c r="LV12" s="207"/>
      <c r="LW12" s="207"/>
      <c r="LX12" s="207"/>
      <c r="LY12" s="207"/>
      <c r="LZ12" s="207"/>
      <c r="MA12" s="207"/>
      <c r="MB12" s="207"/>
      <c r="MC12" s="207"/>
      <c r="MD12" s="207"/>
      <c r="ME12" s="207"/>
      <c r="MF12" s="207"/>
      <c r="MG12" s="207"/>
      <c r="MH12" s="207"/>
      <c r="MI12" s="207"/>
      <c r="MJ12" s="207"/>
      <c r="MK12" s="207"/>
      <c r="ML12" s="207"/>
      <c r="MM12" s="207"/>
      <c r="MN12" s="207"/>
      <c r="MO12" s="207"/>
      <c r="MP12" s="207"/>
      <c r="MQ12" s="207"/>
      <c r="MR12" s="207"/>
      <c r="MS12" s="207"/>
      <c r="MT12" s="207"/>
      <c r="MU12" s="207"/>
      <c r="MV12" s="207"/>
      <c r="MW12" s="207"/>
      <c r="MX12" s="207"/>
      <c r="MY12" s="207"/>
      <c r="MZ12" s="207"/>
      <c r="NA12" s="207"/>
      <c r="NB12" s="207" t="s">
        <v>47</v>
      </c>
      <c r="NC12" s="207"/>
      <c r="ND12" s="207"/>
      <c r="NE12" s="207"/>
      <c r="NF12" s="207"/>
      <c r="NG12" s="207"/>
      <c r="NH12" s="207"/>
      <c r="NI12" s="207"/>
      <c r="NJ12" s="207"/>
      <c r="NK12" s="207"/>
      <c r="NL12" s="207"/>
      <c r="NM12" s="207"/>
      <c r="NN12" s="207"/>
      <c r="NO12" s="207"/>
      <c r="NP12" s="207"/>
      <c r="NQ12" s="207"/>
      <c r="NR12" s="207"/>
      <c r="NS12" s="207"/>
      <c r="NT12" s="207"/>
      <c r="NU12" s="207"/>
      <c r="NV12" s="207"/>
      <c r="NW12" s="207"/>
      <c r="NX12" s="207"/>
      <c r="NY12" s="207"/>
      <c r="NZ12" s="207"/>
      <c r="OA12" s="207"/>
      <c r="OB12" s="207"/>
      <c r="OC12" s="207"/>
      <c r="OD12" s="207"/>
      <c r="OE12" s="207"/>
      <c r="OF12" s="207"/>
      <c r="OG12" s="207"/>
      <c r="OH12" s="207"/>
      <c r="OI12" s="207"/>
      <c r="OJ12" s="207"/>
      <c r="OK12" s="207"/>
      <c r="OL12" s="207"/>
      <c r="OM12" s="207"/>
      <c r="ON12" s="207"/>
      <c r="OO12" s="207"/>
      <c r="OP12" s="207"/>
      <c r="OQ12" s="207"/>
      <c r="OR12" s="207"/>
      <c r="OS12" s="207"/>
      <c r="OT12" s="207"/>
      <c r="OU12" s="207"/>
      <c r="OV12" s="207"/>
      <c r="OW12" s="207"/>
      <c r="OX12" s="207"/>
      <c r="OY12" s="207"/>
      <c r="OZ12" s="207"/>
      <c r="PA12" s="207"/>
      <c r="PB12" s="207"/>
      <c r="PC12" s="207"/>
      <c r="PD12" s="207"/>
      <c r="PE12" s="207"/>
      <c r="PF12" s="207"/>
      <c r="PG12" s="207"/>
      <c r="PH12" s="207"/>
      <c r="PI12" s="207"/>
      <c r="PJ12" s="207" t="s">
        <v>47</v>
      </c>
      <c r="PK12" s="207"/>
      <c r="PL12" s="207"/>
      <c r="PM12" s="207"/>
      <c r="PN12" s="207"/>
      <c r="PO12" s="207"/>
      <c r="PP12" s="207"/>
      <c r="PQ12" s="207"/>
      <c r="PR12" s="207"/>
      <c r="PS12" s="207"/>
      <c r="PT12" s="207"/>
      <c r="PU12" s="207"/>
      <c r="PV12" s="207"/>
      <c r="PW12" s="207"/>
      <c r="PX12" s="207"/>
      <c r="PY12" s="207"/>
      <c r="PZ12" s="207"/>
      <c r="QA12" s="207"/>
      <c r="QB12" s="207"/>
      <c r="QC12" s="207"/>
      <c r="QD12" s="207"/>
      <c r="QE12" s="207"/>
      <c r="QF12" s="207"/>
      <c r="QG12" s="207"/>
      <c r="QH12" s="207"/>
      <c r="QI12" s="207"/>
      <c r="QJ12" s="207"/>
      <c r="QK12" s="207"/>
      <c r="QL12" s="207"/>
      <c r="QM12" s="207"/>
      <c r="QN12" s="207"/>
      <c r="QO12" s="207"/>
      <c r="QP12" s="207"/>
      <c r="QQ12" s="207"/>
      <c r="QR12" s="207"/>
      <c r="QS12" s="207"/>
      <c r="QT12" s="207"/>
      <c r="QU12" s="207"/>
      <c r="QV12" s="207"/>
      <c r="QW12" s="207"/>
      <c r="QX12" s="207"/>
      <c r="QY12" s="207"/>
      <c r="QZ12" s="207"/>
      <c r="RA12" s="207"/>
      <c r="RB12" s="207"/>
      <c r="RC12" s="207"/>
      <c r="RD12" s="207"/>
      <c r="RE12" s="207"/>
      <c r="RF12" s="207"/>
      <c r="RG12" s="207"/>
      <c r="RH12" s="207"/>
      <c r="RI12" s="207"/>
      <c r="RJ12" s="207"/>
      <c r="RK12" s="207"/>
      <c r="RL12" s="207"/>
      <c r="RM12" s="207"/>
      <c r="RN12" s="207"/>
      <c r="RO12" s="207"/>
      <c r="RP12" s="207"/>
      <c r="RQ12" s="207"/>
      <c r="RR12" s="90"/>
    </row>
    <row r="13" spans="1:486" ht="42.75" customHeight="1" thickBot="1" x14ac:dyDescent="0.3">
      <c r="B13" s="96"/>
      <c r="C13" s="233" t="s">
        <v>7</v>
      </c>
      <c r="D13" s="143"/>
      <c r="E13" s="235" t="s">
        <v>40</v>
      </c>
      <c r="F13" s="208" t="s">
        <v>8</v>
      </c>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09"/>
      <c r="BI13" s="209"/>
      <c r="BJ13" s="209"/>
      <c r="BK13" s="209"/>
      <c r="BL13" s="209"/>
      <c r="BM13" s="210"/>
      <c r="BN13" s="208" t="s">
        <v>28</v>
      </c>
      <c r="BO13" s="209"/>
      <c r="BP13" s="209"/>
      <c r="BQ13" s="209"/>
      <c r="BR13" s="209"/>
      <c r="BS13" s="209"/>
      <c r="BT13" s="209"/>
      <c r="BU13" s="209"/>
      <c r="BV13" s="209"/>
      <c r="BW13" s="209"/>
      <c r="BX13" s="209"/>
      <c r="BY13" s="209"/>
      <c r="BZ13" s="209"/>
      <c r="CA13" s="209"/>
      <c r="CB13" s="209"/>
      <c r="CC13" s="209"/>
      <c r="CD13" s="209"/>
      <c r="CE13" s="209"/>
      <c r="CF13" s="209"/>
      <c r="CG13" s="209"/>
      <c r="CH13" s="209"/>
      <c r="CI13" s="209"/>
      <c r="CJ13" s="209"/>
      <c r="CK13" s="209"/>
      <c r="CL13" s="209"/>
      <c r="CM13" s="209"/>
      <c r="CN13" s="209"/>
      <c r="CO13" s="209"/>
      <c r="CP13" s="209"/>
      <c r="CQ13" s="209"/>
      <c r="CR13" s="209"/>
      <c r="CS13" s="209"/>
      <c r="CT13" s="209"/>
      <c r="CU13" s="209"/>
      <c r="CV13" s="209"/>
      <c r="CW13" s="209"/>
      <c r="CX13" s="209"/>
      <c r="CY13" s="209"/>
      <c r="CZ13" s="209"/>
      <c r="DA13" s="209"/>
      <c r="DB13" s="209"/>
      <c r="DC13" s="209"/>
      <c r="DD13" s="209"/>
      <c r="DE13" s="209"/>
      <c r="DF13" s="209"/>
      <c r="DG13" s="209"/>
      <c r="DH13" s="209"/>
      <c r="DI13" s="209"/>
      <c r="DJ13" s="209"/>
      <c r="DK13" s="209"/>
      <c r="DL13" s="209"/>
      <c r="DM13" s="209"/>
      <c r="DN13" s="209"/>
      <c r="DO13" s="209"/>
      <c r="DP13" s="209"/>
      <c r="DQ13" s="209"/>
      <c r="DR13" s="209"/>
      <c r="DS13" s="209"/>
      <c r="DT13" s="209"/>
      <c r="DU13" s="210"/>
      <c r="DV13" s="208" t="s">
        <v>19</v>
      </c>
      <c r="DW13" s="209"/>
      <c r="DX13" s="209"/>
      <c r="DY13" s="209"/>
      <c r="DZ13" s="209"/>
      <c r="EA13" s="209"/>
      <c r="EB13" s="209"/>
      <c r="EC13" s="209"/>
      <c r="ED13" s="209"/>
      <c r="EE13" s="209"/>
      <c r="EF13" s="209"/>
      <c r="EG13" s="209"/>
      <c r="EH13" s="209"/>
      <c r="EI13" s="209"/>
      <c r="EJ13" s="209"/>
      <c r="EK13" s="209"/>
      <c r="EL13" s="209"/>
      <c r="EM13" s="209"/>
      <c r="EN13" s="209"/>
      <c r="EO13" s="209"/>
      <c r="EP13" s="209"/>
      <c r="EQ13" s="209"/>
      <c r="ER13" s="209"/>
      <c r="ES13" s="209"/>
      <c r="ET13" s="209"/>
      <c r="EU13" s="209"/>
      <c r="EV13" s="209"/>
      <c r="EW13" s="209"/>
      <c r="EX13" s="209"/>
      <c r="EY13" s="209"/>
      <c r="EZ13" s="209"/>
      <c r="FA13" s="209"/>
      <c r="FB13" s="209"/>
      <c r="FC13" s="209"/>
      <c r="FD13" s="209"/>
      <c r="FE13" s="209"/>
      <c r="FF13" s="209"/>
      <c r="FG13" s="209"/>
      <c r="FH13" s="209"/>
      <c r="FI13" s="209"/>
      <c r="FJ13" s="209"/>
      <c r="FK13" s="209"/>
      <c r="FL13" s="209"/>
      <c r="FM13" s="209"/>
      <c r="FN13" s="209"/>
      <c r="FO13" s="209"/>
      <c r="FP13" s="209"/>
      <c r="FQ13" s="209"/>
      <c r="FR13" s="209"/>
      <c r="FS13" s="209"/>
      <c r="FT13" s="209"/>
      <c r="FU13" s="209"/>
      <c r="FV13" s="209"/>
      <c r="FW13" s="209"/>
      <c r="FX13" s="209"/>
      <c r="FY13" s="209"/>
      <c r="FZ13" s="209"/>
      <c r="GA13" s="209"/>
      <c r="GB13" s="209"/>
      <c r="GC13" s="210"/>
      <c r="GD13" s="208" t="s">
        <v>78</v>
      </c>
      <c r="GE13" s="209"/>
      <c r="GF13" s="209"/>
      <c r="GG13" s="209"/>
      <c r="GH13" s="209"/>
      <c r="GI13" s="209"/>
      <c r="GJ13" s="209"/>
      <c r="GK13" s="209"/>
      <c r="GL13" s="209"/>
      <c r="GM13" s="209"/>
      <c r="GN13" s="209"/>
      <c r="GO13" s="209"/>
      <c r="GP13" s="209"/>
      <c r="GQ13" s="209"/>
      <c r="GR13" s="209"/>
      <c r="GS13" s="209"/>
      <c r="GT13" s="209"/>
      <c r="GU13" s="209"/>
      <c r="GV13" s="209"/>
      <c r="GW13" s="209"/>
      <c r="GX13" s="209"/>
      <c r="GY13" s="209"/>
      <c r="GZ13" s="209"/>
      <c r="HA13" s="209"/>
      <c r="HB13" s="209"/>
      <c r="HC13" s="209"/>
      <c r="HD13" s="209"/>
      <c r="HE13" s="209"/>
      <c r="HF13" s="209"/>
      <c r="HG13" s="209"/>
      <c r="HH13" s="209"/>
      <c r="HI13" s="209"/>
      <c r="HJ13" s="209"/>
      <c r="HK13" s="209"/>
      <c r="HL13" s="209"/>
      <c r="HM13" s="209"/>
      <c r="HN13" s="209"/>
      <c r="HO13" s="209"/>
      <c r="HP13" s="209"/>
      <c r="HQ13" s="209"/>
      <c r="HR13" s="209"/>
      <c r="HS13" s="209"/>
      <c r="HT13" s="209"/>
      <c r="HU13" s="209"/>
      <c r="HV13" s="209"/>
      <c r="HW13" s="209"/>
      <c r="HX13" s="209"/>
      <c r="HY13" s="209"/>
      <c r="HZ13" s="209"/>
      <c r="IA13" s="209"/>
      <c r="IB13" s="209"/>
      <c r="IC13" s="209"/>
      <c r="ID13" s="209"/>
      <c r="IE13" s="209"/>
      <c r="IF13" s="209"/>
      <c r="IG13" s="209"/>
      <c r="IH13" s="209"/>
      <c r="II13" s="209"/>
      <c r="IJ13" s="209"/>
      <c r="IK13" s="210"/>
      <c r="IL13" s="208" t="s">
        <v>76</v>
      </c>
      <c r="IM13" s="209"/>
      <c r="IN13" s="209"/>
      <c r="IO13" s="209"/>
      <c r="IP13" s="209"/>
      <c r="IQ13" s="209"/>
      <c r="IR13" s="209"/>
      <c r="IS13" s="209"/>
      <c r="IT13" s="209"/>
      <c r="IU13" s="209"/>
      <c r="IV13" s="209"/>
      <c r="IW13" s="209"/>
      <c r="IX13" s="209"/>
      <c r="IY13" s="209"/>
      <c r="IZ13" s="209"/>
      <c r="JA13" s="209"/>
      <c r="JB13" s="209"/>
      <c r="JC13" s="209"/>
      <c r="JD13" s="209"/>
      <c r="JE13" s="209"/>
      <c r="JF13" s="209"/>
      <c r="JG13" s="209"/>
      <c r="JH13" s="209"/>
      <c r="JI13" s="209"/>
      <c r="JJ13" s="209"/>
      <c r="JK13" s="209"/>
      <c r="JL13" s="209"/>
      <c r="JM13" s="209"/>
      <c r="JN13" s="209"/>
      <c r="JO13" s="209"/>
      <c r="JP13" s="209"/>
      <c r="JQ13" s="209"/>
      <c r="JR13" s="209"/>
      <c r="JS13" s="209"/>
      <c r="JT13" s="209"/>
      <c r="JU13" s="209"/>
      <c r="JV13" s="209"/>
      <c r="JW13" s="209"/>
      <c r="JX13" s="209"/>
      <c r="JY13" s="209"/>
      <c r="JZ13" s="209"/>
      <c r="KA13" s="209"/>
      <c r="KB13" s="209"/>
      <c r="KC13" s="209"/>
      <c r="KD13" s="209"/>
      <c r="KE13" s="209"/>
      <c r="KF13" s="209"/>
      <c r="KG13" s="209"/>
      <c r="KH13" s="209"/>
      <c r="KI13" s="209"/>
      <c r="KJ13" s="209"/>
      <c r="KK13" s="209"/>
      <c r="KL13" s="209"/>
      <c r="KM13" s="209"/>
      <c r="KN13" s="209"/>
      <c r="KO13" s="209"/>
      <c r="KP13" s="209"/>
      <c r="KQ13" s="209"/>
      <c r="KR13" s="209"/>
      <c r="KS13" s="210"/>
      <c r="KT13" s="208" t="s">
        <v>74</v>
      </c>
      <c r="KU13" s="209"/>
      <c r="KV13" s="209"/>
      <c r="KW13" s="209"/>
      <c r="KX13" s="209"/>
      <c r="KY13" s="209"/>
      <c r="KZ13" s="209"/>
      <c r="LA13" s="209"/>
      <c r="LB13" s="209"/>
      <c r="LC13" s="209"/>
      <c r="LD13" s="209"/>
      <c r="LE13" s="209"/>
      <c r="LF13" s="209"/>
      <c r="LG13" s="209"/>
      <c r="LH13" s="209"/>
      <c r="LI13" s="209"/>
      <c r="LJ13" s="209"/>
      <c r="LK13" s="209"/>
      <c r="LL13" s="209"/>
      <c r="LM13" s="209"/>
      <c r="LN13" s="209"/>
      <c r="LO13" s="209"/>
      <c r="LP13" s="209"/>
      <c r="LQ13" s="209"/>
      <c r="LR13" s="209"/>
      <c r="LS13" s="209"/>
      <c r="LT13" s="209"/>
      <c r="LU13" s="209"/>
      <c r="LV13" s="209"/>
      <c r="LW13" s="209"/>
      <c r="LX13" s="209"/>
      <c r="LY13" s="209"/>
      <c r="LZ13" s="209"/>
      <c r="MA13" s="209"/>
      <c r="MB13" s="209"/>
      <c r="MC13" s="209"/>
      <c r="MD13" s="209"/>
      <c r="ME13" s="209"/>
      <c r="MF13" s="209"/>
      <c r="MG13" s="209"/>
      <c r="MH13" s="209"/>
      <c r="MI13" s="209"/>
      <c r="MJ13" s="209"/>
      <c r="MK13" s="209"/>
      <c r="ML13" s="209"/>
      <c r="MM13" s="209"/>
      <c r="MN13" s="209"/>
      <c r="MO13" s="209"/>
      <c r="MP13" s="209"/>
      <c r="MQ13" s="209"/>
      <c r="MR13" s="209"/>
      <c r="MS13" s="209"/>
      <c r="MT13" s="209"/>
      <c r="MU13" s="209"/>
      <c r="MV13" s="209"/>
      <c r="MW13" s="209"/>
      <c r="MX13" s="209"/>
      <c r="MY13" s="209"/>
      <c r="MZ13" s="209"/>
      <c r="NA13" s="210"/>
      <c r="NB13" s="208" t="s">
        <v>72</v>
      </c>
      <c r="NC13" s="209"/>
      <c r="ND13" s="209"/>
      <c r="NE13" s="209"/>
      <c r="NF13" s="209"/>
      <c r="NG13" s="209"/>
      <c r="NH13" s="209"/>
      <c r="NI13" s="209"/>
      <c r="NJ13" s="209"/>
      <c r="NK13" s="209"/>
      <c r="NL13" s="209"/>
      <c r="NM13" s="209"/>
      <c r="NN13" s="209"/>
      <c r="NO13" s="209"/>
      <c r="NP13" s="209"/>
      <c r="NQ13" s="209"/>
      <c r="NR13" s="209"/>
      <c r="NS13" s="209"/>
      <c r="NT13" s="209"/>
      <c r="NU13" s="209"/>
      <c r="NV13" s="209"/>
      <c r="NW13" s="209"/>
      <c r="NX13" s="209"/>
      <c r="NY13" s="209"/>
      <c r="NZ13" s="209"/>
      <c r="OA13" s="209"/>
      <c r="OB13" s="209"/>
      <c r="OC13" s="209"/>
      <c r="OD13" s="209"/>
      <c r="OE13" s="209"/>
      <c r="OF13" s="209"/>
      <c r="OG13" s="209"/>
      <c r="OH13" s="209"/>
      <c r="OI13" s="209"/>
      <c r="OJ13" s="209"/>
      <c r="OK13" s="209"/>
      <c r="OL13" s="209"/>
      <c r="OM13" s="209"/>
      <c r="ON13" s="209"/>
      <c r="OO13" s="209"/>
      <c r="OP13" s="209"/>
      <c r="OQ13" s="209"/>
      <c r="OR13" s="209"/>
      <c r="OS13" s="209"/>
      <c r="OT13" s="209"/>
      <c r="OU13" s="209"/>
      <c r="OV13" s="209"/>
      <c r="OW13" s="209"/>
      <c r="OX13" s="209"/>
      <c r="OY13" s="209"/>
      <c r="OZ13" s="209"/>
      <c r="PA13" s="209"/>
      <c r="PB13" s="209"/>
      <c r="PC13" s="209"/>
      <c r="PD13" s="209"/>
      <c r="PE13" s="209"/>
      <c r="PF13" s="209"/>
      <c r="PG13" s="209"/>
      <c r="PH13" s="209"/>
      <c r="PI13" s="210"/>
      <c r="PJ13" s="208" t="s">
        <v>70</v>
      </c>
      <c r="PK13" s="209"/>
      <c r="PL13" s="209"/>
      <c r="PM13" s="209"/>
      <c r="PN13" s="209"/>
      <c r="PO13" s="209"/>
      <c r="PP13" s="209"/>
      <c r="PQ13" s="209"/>
      <c r="PR13" s="209"/>
      <c r="PS13" s="209"/>
      <c r="PT13" s="209"/>
      <c r="PU13" s="209"/>
      <c r="PV13" s="209"/>
      <c r="PW13" s="209"/>
      <c r="PX13" s="209"/>
      <c r="PY13" s="209"/>
      <c r="PZ13" s="209"/>
      <c r="QA13" s="209"/>
      <c r="QB13" s="209"/>
      <c r="QC13" s="209"/>
      <c r="QD13" s="209"/>
      <c r="QE13" s="209"/>
      <c r="QF13" s="209"/>
      <c r="QG13" s="209"/>
      <c r="QH13" s="209"/>
      <c r="QI13" s="209"/>
      <c r="QJ13" s="209"/>
      <c r="QK13" s="209"/>
      <c r="QL13" s="209"/>
      <c r="QM13" s="209"/>
      <c r="QN13" s="209"/>
      <c r="QO13" s="209"/>
      <c r="QP13" s="209"/>
      <c r="QQ13" s="209"/>
      <c r="QR13" s="209"/>
      <c r="QS13" s="209"/>
      <c r="QT13" s="209"/>
      <c r="QU13" s="209"/>
      <c r="QV13" s="209"/>
      <c r="QW13" s="209"/>
      <c r="QX13" s="209"/>
      <c r="QY13" s="209"/>
      <c r="QZ13" s="209"/>
      <c r="RA13" s="209"/>
      <c r="RB13" s="209"/>
      <c r="RC13" s="209"/>
      <c r="RD13" s="209"/>
      <c r="RE13" s="209"/>
      <c r="RF13" s="209"/>
      <c r="RG13" s="209"/>
      <c r="RH13" s="209"/>
      <c r="RI13" s="209"/>
      <c r="RJ13" s="209"/>
      <c r="RK13" s="209"/>
      <c r="RL13" s="209"/>
      <c r="RM13" s="209"/>
      <c r="RN13" s="209"/>
      <c r="RO13" s="209"/>
      <c r="RP13" s="209"/>
      <c r="RQ13" s="210"/>
      <c r="RR13" s="90"/>
    </row>
    <row r="14" spans="1:486" ht="12.75" customHeight="1" thickBot="1" x14ac:dyDescent="0.35">
      <c r="B14" s="96"/>
      <c r="C14" s="234"/>
      <c r="D14" s="144"/>
      <c r="E14" s="236"/>
      <c r="F14" s="102"/>
      <c r="G14" s="103"/>
      <c r="H14" s="103"/>
      <c r="I14" s="103"/>
      <c r="J14" s="211" t="s">
        <v>35</v>
      </c>
      <c r="K14" s="211"/>
      <c r="L14" s="211"/>
      <c r="M14" s="211"/>
      <c r="N14" s="103"/>
      <c r="O14" s="103"/>
      <c r="P14" s="212" t="s">
        <v>24</v>
      </c>
      <c r="Q14" s="212"/>
      <c r="R14" s="212"/>
      <c r="S14" s="212"/>
      <c r="T14" s="128"/>
      <c r="U14" s="128"/>
      <c r="V14" s="211" t="s">
        <v>36</v>
      </c>
      <c r="W14" s="211"/>
      <c r="X14" s="211"/>
      <c r="Y14" s="211"/>
      <c r="Z14" s="103"/>
      <c r="AA14" s="103"/>
      <c r="AB14" s="212" t="s">
        <v>25</v>
      </c>
      <c r="AC14" s="212"/>
      <c r="AD14" s="212"/>
      <c r="AE14" s="212"/>
      <c r="AF14" s="128"/>
      <c r="AG14" s="128"/>
      <c r="AH14" s="211" t="s">
        <v>37</v>
      </c>
      <c r="AI14" s="211"/>
      <c r="AJ14" s="211"/>
      <c r="AK14" s="211"/>
      <c r="AL14" s="103"/>
      <c r="AM14" s="103"/>
      <c r="AN14" s="212" t="s">
        <v>26</v>
      </c>
      <c r="AO14" s="212"/>
      <c r="AP14" s="212"/>
      <c r="AQ14" s="212"/>
      <c r="AR14" s="128"/>
      <c r="AS14" s="128"/>
      <c r="AT14" s="211" t="s">
        <v>38</v>
      </c>
      <c r="AU14" s="211"/>
      <c r="AV14" s="211"/>
      <c r="AW14" s="211"/>
      <c r="AX14" s="103"/>
      <c r="AY14" s="103"/>
      <c r="AZ14" s="212" t="s">
        <v>27</v>
      </c>
      <c r="BA14" s="212"/>
      <c r="BB14" s="212"/>
      <c r="BC14" s="212"/>
      <c r="BD14" s="128"/>
      <c r="BE14" s="128"/>
      <c r="BF14" s="211" t="s">
        <v>39</v>
      </c>
      <c r="BG14" s="211"/>
      <c r="BH14" s="211"/>
      <c r="BI14" s="211"/>
      <c r="BJ14" s="103"/>
      <c r="BK14" s="103"/>
      <c r="BL14" s="103"/>
      <c r="BM14" s="104"/>
      <c r="BN14" s="102"/>
      <c r="BO14" s="103"/>
      <c r="BP14" s="103"/>
      <c r="BQ14" s="103"/>
      <c r="BR14" s="211" t="s">
        <v>35</v>
      </c>
      <c r="BS14" s="211"/>
      <c r="BT14" s="211"/>
      <c r="BU14" s="211"/>
      <c r="BV14" s="103"/>
      <c r="BW14" s="103"/>
      <c r="BX14" s="212" t="s">
        <v>24</v>
      </c>
      <c r="BY14" s="212"/>
      <c r="BZ14" s="212"/>
      <c r="CA14" s="212"/>
      <c r="CB14" s="128"/>
      <c r="CC14" s="128"/>
      <c r="CD14" s="211" t="s">
        <v>36</v>
      </c>
      <c r="CE14" s="211"/>
      <c r="CF14" s="211"/>
      <c r="CG14" s="211"/>
      <c r="CH14" s="103"/>
      <c r="CI14" s="103"/>
      <c r="CJ14" s="212" t="s">
        <v>25</v>
      </c>
      <c r="CK14" s="212"/>
      <c r="CL14" s="212"/>
      <c r="CM14" s="212"/>
      <c r="CN14" s="128"/>
      <c r="CO14" s="128"/>
      <c r="CP14" s="211" t="s">
        <v>37</v>
      </c>
      <c r="CQ14" s="211"/>
      <c r="CR14" s="211"/>
      <c r="CS14" s="211"/>
      <c r="CT14" s="103"/>
      <c r="CU14" s="103"/>
      <c r="CV14" s="212" t="s">
        <v>26</v>
      </c>
      <c r="CW14" s="212"/>
      <c r="CX14" s="212"/>
      <c r="CY14" s="212"/>
      <c r="CZ14" s="128"/>
      <c r="DA14" s="128"/>
      <c r="DB14" s="211" t="s">
        <v>38</v>
      </c>
      <c r="DC14" s="211"/>
      <c r="DD14" s="211"/>
      <c r="DE14" s="211"/>
      <c r="DF14" s="103"/>
      <c r="DG14" s="103"/>
      <c r="DH14" s="212" t="s">
        <v>27</v>
      </c>
      <c r="DI14" s="212"/>
      <c r="DJ14" s="212"/>
      <c r="DK14" s="212"/>
      <c r="DL14" s="128"/>
      <c r="DM14" s="128"/>
      <c r="DN14" s="211" t="s">
        <v>39</v>
      </c>
      <c r="DO14" s="211"/>
      <c r="DP14" s="211"/>
      <c r="DQ14" s="211"/>
      <c r="DR14" s="103"/>
      <c r="DS14" s="103"/>
      <c r="DT14" s="103"/>
      <c r="DU14" s="104"/>
      <c r="DV14" s="102"/>
      <c r="DW14" s="103"/>
      <c r="DX14" s="103"/>
      <c r="DY14" s="103"/>
      <c r="DZ14" s="211" t="s">
        <v>35</v>
      </c>
      <c r="EA14" s="211"/>
      <c r="EB14" s="211"/>
      <c r="EC14" s="211"/>
      <c r="ED14" s="103"/>
      <c r="EE14" s="103"/>
      <c r="EF14" s="212" t="s">
        <v>24</v>
      </c>
      <c r="EG14" s="212"/>
      <c r="EH14" s="212"/>
      <c r="EI14" s="212"/>
      <c r="EJ14" s="128"/>
      <c r="EK14" s="128"/>
      <c r="EL14" s="211" t="s">
        <v>36</v>
      </c>
      <c r="EM14" s="211"/>
      <c r="EN14" s="211"/>
      <c r="EO14" s="211"/>
      <c r="EP14" s="103"/>
      <c r="EQ14" s="103"/>
      <c r="ER14" s="212" t="s">
        <v>25</v>
      </c>
      <c r="ES14" s="212"/>
      <c r="ET14" s="212"/>
      <c r="EU14" s="212"/>
      <c r="EV14" s="128"/>
      <c r="EW14" s="128"/>
      <c r="EX14" s="211" t="s">
        <v>37</v>
      </c>
      <c r="EY14" s="211"/>
      <c r="EZ14" s="211"/>
      <c r="FA14" s="211"/>
      <c r="FB14" s="103"/>
      <c r="FC14" s="103"/>
      <c r="FD14" s="212" t="s">
        <v>26</v>
      </c>
      <c r="FE14" s="212"/>
      <c r="FF14" s="212"/>
      <c r="FG14" s="212"/>
      <c r="FH14" s="128"/>
      <c r="FI14" s="128"/>
      <c r="FJ14" s="211" t="s">
        <v>38</v>
      </c>
      <c r="FK14" s="211"/>
      <c r="FL14" s="211"/>
      <c r="FM14" s="211"/>
      <c r="FN14" s="103"/>
      <c r="FO14" s="103"/>
      <c r="FP14" s="212" t="s">
        <v>27</v>
      </c>
      <c r="FQ14" s="212"/>
      <c r="FR14" s="212"/>
      <c r="FS14" s="212"/>
      <c r="FT14" s="128"/>
      <c r="FU14" s="128"/>
      <c r="FV14" s="211" t="s">
        <v>39</v>
      </c>
      <c r="FW14" s="211"/>
      <c r="FX14" s="211"/>
      <c r="FY14" s="211"/>
      <c r="FZ14" s="103"/>
      <c r="GA14" s="103"/>
      <c r="GB14" s="103"/>
      <c r="GC14" s="104"/>
      <c r="GD14" s="102"/>
      <c r="GE14" s="103"/>
      <c r="GF14" s="103"/>
      <c r="GG14" s="103"/>
      <c r="GH14" s="211" t="s">
        <v>35</v>
      </c>
      <c r="GI14" s="211"/>
      <c r="GJ14" s="211"/>
      <c r="GK14" s="211"/>
      <c r="GL14" s="103"/>
      <c r="GM14" s="103"/>
      <c r="GN14" s="212" t="s">
        <v>24</v>
      </c>
      <c r="GO14" s="212"/>
      <c r="GP14" s="212"/>
      <c r="GQ14" s="212"/>
      <c r="GR14" s="128"/>
      <c r="GS14" s="128"/>
      <c r="GT14" s="211" t="s">
        <v>36</v>
      </c>
      <c r="GU14" s="211"/>
      <c r="GV14" s="211"/>
      <c r="GW14" s="211"/>
      <c r="GX14" s="103"/>
      <c r="GY14" s="103"/>
      <c r="GZ14" s="212" t="s">
        <v>25</v>
      </c>
      <c r="HA14" s="212"/>
      <c r="HB14" s="212"/>
      <c r="HC14" s="212"/>
      <c r="HD14" s="128"/>
      <c r="HE14" s="128"/>
      <c r="HF14" s="211" t="s">
        <v>37</v>
      </c>
      <c r="HG14" s="211"/>
      <c r="HH14" s="211"/>
      <c r="HI14" s="211"/>
      <c r="HJ14" s="103"/>
      <c r="HK14" s="103"/>
      <c r="HL14" s="212" t="s">
        <v>26</v>
      </c>
      <c r="HM14" s="212"/>
      <c r="HN14" s="212"/>
      <c r="HO14" s="212"/>
      <c r="HP14" s="128"/>
      <c r="HQ14" s="128"/>
      <c r="HR14" s="211" t="s">
        <v>38</v>
      </c>
      <c r="HS14" s="211"/>
      <c r="HT14" s="211"/>
      <c r="HU14" s="211"/>
      <c r="HV14" s="103"/>
      <c r="HW14" s="103"/>
      <c r="HX14" s="212" t="s">
        <v>27</v>
      </c>
      <c r="HY14" s="212"/>
      <c r="HZ14" s="212"/>
      <c r="IA14" s="212"/>
      <c r="IB14" s="128"/>
      <c r="IC14" s="128"/>
      <c r="ID14" s="211" t="s">
        <v>39</v>
      </c>
      <c r="IE14" s="211"/>
      <c r="IF14" s="211"/>
      <c r="IG14" s="211"/>
      <c r="IH14" s="103"/>
      <c r="II14" s="103"/>
      <c r="IJ14" s="103"/>
      <c r="IK14" s="104"/>
      <c r="IL14" s="102"/>
      <c r="IM14" s="103"/>
      <c r="IN14" s="103"/>
      <c r="IO14" s="103"/>
      <c r="IP14" s="211" t="s">
        <v>35</v>
      </c>
      <c r="IQ14" s="211"/>
      <c r="IR14" s="211"/>
      <c r="IS14" s="211"/>
      <c r="IT14" s="103"/>
      <c r="IU14" s="103"/>
      <c r="IV14" s="212" t="s">
        <v>24</v>
      </c>
      <c r="IW14" s="212"/>
      <c r="IX14" s="212"/>
      <c r="IY14" s="212"/>
      <c r="IZ14" s="128"/>
      <c r="JA14" s="128"/>
      <c r="JB14" s="211" t="s">
        <v>36</v>
      </c>
      <c r="JC14" s="211"/>
      <c r="JD14" s="211"/>
      <c r="JE14" s="211"/>
      <c r="JF14" s="103"/>
      <c r="JG14" s="103"/>
      <c r="JH14" s="212" t="s">
        <v>25</v>
      </c>
      <c r="JI14" s="212"/>
      <c r="JJ14" s="212"/>
      <c r="JK14" s="212"/>
      <c r="JL14" s="128"/>
      <c r="JM14" s="128"/>
      <c r="JN14" s="211" t="s">
        <v>37</v>
      </c>
      <c r="JO14" s="211"/>
      <c r="JP14" s="211"/>
      <c r="JQ14" s="211"/>
      <c r="JR14" s="103"/>
      <c r="JS14" s="103"/>
      <c r="JT14" s="212" t="s">
        <v>26</v>
      </c>
      <c r="JU14" s="212"/>
      <c r="JV14" s="212"/>
      <c r="JW14" s="212"/>
      <c r="JX14" s="128"/>
      <c r="JY14" s="128"/>
      <c r="JZ14" s="211" t="s">
        <v>38</v>
      </c>
      <c r="KA14" s="211"/>
      <c r="KB14" s="211"/>
      <c r="KC14" s="211"/>
      <c r="KD14" s="103"/>
      <c r="KE14" s="103"/>
      <c r="KF14" s="212" t="s">
        <v>27</v>
      </c>
      <c r="KG14" s="212"/>
      <c r="KH14" s="212"/>
      <c r="KI14" s="212"/>
      <c r="KJ14" s="128"/>
      <c r="KK14" s="128"/>
      <c r="KL14" s="211" t="s">
        <v>39</v>
      </c>
      <c r="KM14" s="211"/>
      <c r="KN14" s="211"/>
      <c r="KO14" s="211"/>
      <c r="KP14" s="103"/>
      <c r="KQ14" s="103"/>
      <c r="KR14" s="103"/>
      <c r="KS14" s="104"/>
      <c r="KT14" s="102"/>
      <c r="KU14" s="103"/>
      <c r="KV14" s="103"/>
      <c r="KW14" s="103"/>
      <c r="KX14" s="211" t="s">
        <v>35</v>
      </c>
      <c r="KY14" s="211"/>
      <c r="KZ14" s="211"/>
      <c r="LA14" s="211"/>
      <c r="LB14" s="103"/>
      <c r="LC14" s="103"/>
      <c r="LD14" s="212" t="s">
        <v>24</v>
      </c>
      <c r="LE14" s="212"/>
      <c r="LF14" s="212"/>
      <c r="LG14" s="212"/>
      <c r="LH14" s="128"/>
      <c r="LI14" s="128"/>
      <c r="LJ14" s="211" t="s">
        <v>36</v>
      </c>
      <c r="LK14" s="211"/>
      <c r="LL14" s="211"/>
      <c r="LM14" s="211"/>
      <c r="LN14" s="103"/>
      <c r="LO14" s="103"/>
      <c r="LP14" s="212" t="s">
        <v>25</v>
      </c>
      <c r="LQ14" s="212"/>
      <c r="LR14" s="212"/>
      <c r="LS14" s="212"/>
      <c r="LT14" s="128"/>
      <c r="LU14" s="128"/>
      <c r="LV14" s="211" t="s">
        <v>37</v>
      </c>
      <c r="LW14" s="211"/>
      <c r="LX14" s="211"/>
      <c r="LY14" s="211"/>
      <c r="LZ14" s="103"/>
      <c r="MA14" s="103"/>
      <c r="MB14" s="212" t="s">
        <v>26</v>
      </c>
      <c r="MC14" s="212"/>
      <c r="MD14" s="212"/>
      <c r="ME14" s="212"/>
      <c r="MF14" s="128"/>
      <c r="MG14" s="128"/>
      <c r="MH14" s="211" t="s">
        <v>38</v>
      </c>
      <c r="MI14" s="211"/>
      <c r="MJ14" s="211"/>
      <c r="MK14" s="211"/>
      <c r="ML14" s="103"/>
      <c r="MM14" s="103"/>
      <c r="MN14" s="212" t="s">
        <v>27</v>
      </c>
      <c r="MO14" s="212"/>
      <c r="MP14" s="212"/>
      <c r="MQ14" s="212"/>
      <c r="MR14" s="128"/>
      <c r="MS14" s="128"/>
      <c r="MT14" s="211" t="s">
        <v>39</v>
      </c>
      <c r="MU14" s="211"/>
      <c r="MV14" s="211"/>
      <c r="MW14" s="211"/>
      <c r="MX14" s="103"/>
      <c r="MY14" s="103"/>
      <c r="MZ14" s="103"/>
      <c r="NA14" s="104"/>
      <c r="NB14" s="102"/>
      <c r="NC14" s="103"/>
      <c r="ND14" s="103"/>
      <c r="NE14" s="103"/>
      <c r="NF14" s="211" t="s">
        <v>35</v>
      </c>
      <c r="NG14" s="211"/>
      <c r="NH14" s="211"/>
      <c r="NI14" s="211"/>
      <c r="NJ14" s="103"/>
      <c r="NK14" s="103"/>
      <c r="NL14" s="212" t="s">
        <v>24</v>
      </c>
      <c r="NM14" s="212"/>
      <c r="NN14" s="212"/>
      <c r="NO14" s="212"/>
      <c r="NP14" s="128"/>
      <c r="NQ14" s="128"/>
      <c r="NR14" s="211" t="s">
        <v>36</v>
      </c>
      <c r="NS14" s="211"/>
      <c r="NT14" s="211"/>
      <c r="NU14" s="211"/>
      <c r="NV14" s="103"/>
      <c r="NW14" s="103"/>
      <c r="NX14" s="212" t="s">
        <v>25</v>
      </c>
      <c r="NY14" s="212"/>
      <c r="NZ14" s="212"/>
      <c r="OA14" s="212"/>
      <c r="OB14" s="128"/>
      <c r="OC14" s="128"/>
      <c r="OD14" s="211" t="s">
        <v>37</v>
      </c>
      <c r="OE14" s="211"/>
      <c r="OF14" s="211"/>
      <c r="OG14" s="211"/>
      <c r="OH14" s="103"/>
      <c r="OI14" s="103"/>
      <c r="OJ14" s="212" t="s">
        <v>26</v>
      </c>
      <c r="OK14" s="212"/>
      <c r="OL14" s="212"/>
      <c r="OM14" s="212"/>
      <c r="ON14" s="128"/>
      <c r="OO14" s="128"/>
      <c r="OP14" s="211" t="s">
        <v>38</v>
      </c>
      <c r="OQ14" s="211"/>
      <c r="OR14" s="211"/>
      <c r="OS14" s="211"/>
      <c r="OT14" s="103"/>
      <c r="OU14" s="103"/>
      <c r="OV14" s="212" t="s">
        <v>27</v>
      </c>
      <c r="OW14" s="212"/>
      <c r="OX14" s="212"/>
      <c r="OY14" s="212"/>
      <c r="OZ14" s="128"/>
      <c r="PA14" s="128"/>
      <c r="PB14" s="211" t="s">
        <v>39</v>
      </c>
      <c r="PC14" s="211"/>
      <c r="PD14" s="211"/>
      <c r="PE14" s="211"/>
      <c r="PF14" s="103"/>
      <c r="PG14" s="103"/>
      <c r="PH14" s="103"/>
      <c r="PI14" s="104"/>
      <c r="PJ14" s="102"/>
      <c r="PK14" s="103"/>
      <c r="PL14" s="103"/>
      <c r="PM14" s="103"/>
      <c r="PN14" s="211" t="s">
        <v>35</v>
      </c>
      <c r="PO14" s="211"/>
      <c r="PP14" s="211"/>
      <c r="PQ14" s="211"/>
      <c r="PR14" s="103"/>
      <c r="PS14" s="103"/>
      <c r="PT14" s="212" t="s">
        <v>24</v>
      </c>
      <c r="PU14" s="212"/>
      <c r="PV14" s="212"/>
      <c r="PW14" s="212"/>
      <c r="PX14" s="128"/>
      <c r="PY14" s="128"/>
      <c r="PZ14" s="211" t="s">
        <v>36</v>
      </c>
      <c r="QA14" s="211"/>
      <c r="QB14" s="211"/>
      <c r="QC14" s="211"/>
      <c r="QD14" s="103"/>
      <c r="QE14" s="103"/>
      <c r="QF14" s="212" t="s">
        <v>25</v>
      </c>
      <c r="QG14" s="212"/>
      <c r="QH14" s="212"/>
      <c r="QI14" s="212"/>
      <c r="QJ14" s="128"/>
      <c r="QK14" s="128"/>
      <c r="QL14" s="211" t="s">
        <v>37</v>
      </c>
      <c r="QM14" s="211"/>
      <c r="QN14" s="211"/>
      <c r="QO14" s="211"/>
      <c r="QP14" s="103"/>
      <c r="QQ14" s="103"/>
      <c r="QR14" s="212" t="s">
        <v>26</v>
      </c>
      <c r="QS14" s="212"/>
      <c r="QT14" s="212"/>
      <c r="QU14" s="212"/>
      <c r="QV14" s="128"/>
      <c r="QW14" s="128"/>
      <c r="QX14" s="211" t="s">
        <v>38</v>
      </c>
      <c r="QY14" s="211"/>
      <c r="QZ14" s="211"/>
      <c r="RA14" s="211"/>
      <c r="RB14" s="103"/>
      <c r="RC14" s="103"/>
      <c r="RD14" s="212" t="s">
        <v>27</v>
      </c>
      <c r="RE14" s="212"/>
      <c r="RF14" s="212"/>
      <c r="RG14" s="212"/>
      <c r="RH14" s="128"/>
      <c r="RI14" s="128"/>
      <c r="RJ14" s="211" t="s">
        <v>39</v>
      </c>
      <c r="RK14" s="211"/>
      <c r="RL14" s="211"/>
      <c r="RM14" s="211"/>
      <c r="RN14" s="103"/>
      <c r="RO14" s="103"/>
      <c r="RP14" s="103"/>
      <c r="RQ14" s="104"/>
      <c r="RR14" s="90"/>
    </row>
    <row r="15" spans="1:486" ht="20.100000000000001" customHeight="1" x14ac:dyDescent="0.25">
      <c r="A15" s="100" t="s">
        <v>20</v>
      </c>
      <c r="B15" s="63" t="str">
        <f>IF(LEN(C15)=0,"",C15)</f>
        <v xml:space="preserve">Absences - imprévus </v>
      </c>
      <c r="C15" s="217"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90"/>
    </row>
    <row r="16" spans="1:486" ht="20.100000000000001" customHeight="1" x14ac:dyDescent="0.25">
      <c r="A16" s="100" t="s">
        <v>21</v>
      </c>
      <c r="B16" s="63" t="str">
        <f>IF(LEN(C17)=0,"",C17)</f>
        <v>Analyse - Planification initiale</v>
      </c>
      <c r="C16" s="219"/>
      <c r="D16" s="146" t="str">
        <f t="shared" ref="D16:D34" si="0">setValueToTime(E16)</f>
        <v>2h5min</v>
      </c>
      <c r="E16" s="35">
        <v>25</v>
      </c>
      <c r="F16" s="187"/>
      <c r="G16" s="182"/>
      <c r="H16" s="182"/>
      <c r="I16" s="182"/>
      <c r="J16" s="183"/>
      <c r="K16" s="184"/>
      <c r="L16" s="183"/>
      <c r="M16" s="183"/>
      <c r="N16" s="183"/>
      <c r="O16" s="183"/>
      <c r="P16" s="183"/>
      <c r="Q16" s="188"/>
      <c r="R16" s="183"/>
      <c r="S16" s="183"/>
      <c r="T16" s="183"/>
      <c r="U16" s="183"/>
      <c r="V16" s="183"/>
      <c r="W16" s="189"/>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183"/>
      <c r="KY16" s="184"/>
      <c r="KZ16" s="183"/>
      <c r="LA16" s="183"/>
      <c r="LB16" s="183"/>
      <c r="LC16" s="183"/>
      <c r="LD16" s="183"/>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90"/>
    </row>
    <row r="17" spans="1:486" ht="20.100000000000001" customHeight="1" x14ac:dyDescent="0.25">
      <c r="A17" s="100" t="s">
        <v>20</v>
      </c>
      <c r="B17" s="63" t="str">
        <f>IF(LEN(C19)=0,"",C19)</f>
        <v>Réalisation - Scraper</v>
      </c>
      <c r="C17" s="217" t="s">
        <v>32</v>
      </c>
      <c r="D17" s="145" t="str">
        <f t="shared" si="0"/>
        <v>1h10min</v>
      </c>
      <c r="E17" s="31">
        <v>14</v>
      </c>
      <c r="F17" s="173"/>
      <c r="G17" s="174"/>
      <c r="H17" s="174"/>
      <c r="I17" s="174"/>
      <c r="J17" s="171"/>
      <c r="K17" s="175"/>
      <c r="L17" s="171"/>
      <c r="M17" s="171"/>
      <c r="N17" s="33"/>
      <c r="O17" s="33"/>
      <c r="P17" s="33"/>
      <c r="Q17" s="136"/>
      <c r="R17" s="33"/>
      <c r="S17" s="33"/>
      <c r="T17" s="33"/>
      <c r="U17" s="33"/>
      <c r="V17" s="33"/>
      <c r="W17" s="74"/>
      <c r="X17" s="33"/>
      <c r="Y17" s="33"/>
      <c r="Z17" s="33"/>
      <c r="AA17" s="33"/>
      <c r="AB17" s="33"/>
      <c r="AC17" s="136"/>
      <c r="AD17" s="33"/>
      <c r="AE17" s="33"/>
      <c r="AF17" s="33"/>
      <c r="AG17" s="33"/>
      <c r="AH17" s="33"/>
      <c r="AI17" s="74"/>
      <c r="AJ17" s="64"/>
      <c r="AK17" s="64"/>
      <c r="AL17" s="64"/>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173"/>
      <c r="BO17" s="174"/>
      <c r="BP17" s="174"/>
      <c r="BQ17" s="174"/>
      <c r="BR17" s="171"/>
      <c r="BS17" s="175"/>
      <c r="BT17" s="33"/>
      <c r="BU17" s="33"/>
      <c r="BV17" s="33"/>
      <c r="BW17" s="33"/>
      <c r="BX17" s="33"/>
      <c r="BY17" s="136"/>
      <c r="BZ17" s="33"/>
      <c r="CA17" s="33"/>
      <c r="CB17" s="33"/>
      <c r="CC17" s="33"/>
      <c r="CD17" s="33"/>
      <c r="CE17" s="74"/>
      <c r="CF17" s="33"/>
      <c r="CG17" s="33"/>
      <c r="CH17" s="33"/>
      <c r="CI17" s="33"/>
      <c r="CJ17" s="33"/>
      <c r="CK17" s="136"/>
      <c r="CL17" s="33"/>
      <c r="CM17" s="33"/>
      <c r="CN17" s="33"/>
      <c r="CO17" s="33"/>
      <c r="CP17" s="33"/>
      <c r="CQ17" s="74"/>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36"/>
      <c r="LR17" s="33"/>
      <c r="LS17" s="33"/>
      <c r="LT17" s="33"/>
      <c r="LU17" s="33"/>
      <c r="LV17" s="33"/>
      <c r="LW17" s="74"/>
      <c r="LX17" s="64"/>
      <c r="LY17" s="64"/>
      <c r="LZ17" s="64"/>
      <c r="MA17" s="64"/>
      <c r="MB17" s="33"/>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90"/>
    </row>
    <row r="18" spans="1:486" ht="20.100000000000001" customHeight="1" x14ac:dyDescent="0.3">
      <c r="A18" s="100" t="s">
        <v>21</v>
      </c>
      <c r="B18" s="63" t="str">
        <f>IF(LEN(C21)=0,"",C21)</f>
        <v>Doc - Journal de travail</v>
      </c>
      <c r="C18" s="219"/>
      <c r="D18" s="147" t="str">
        <f t="shared" si="0"/>
        <v>1h</v>
      </c>
      <c r="E18" s="35">
        <v>12</v>
      </c>
      <c r="F18" s="36"/>
      <c r="G18" s="65"/>
      <c r="H18" s="65"/>
      <c r="I18" s="65"/>
      <c r="J18" s="37"/>
      <c r="K18" s="132"/>
      <c r="L18" s="37"/>
      <c r="M18" s="37"/>
      <c r="N18" s="37"/>
      <c r="O18" s="37"/>
      <c r="P18" s="37"/>
      <c r="Q18" s="137"/>
      <c r="R18" s="37"/>
      <c r="S18" s="37"/>
      <c r="T18" s="37"/>
      <c r="U18" s="37"/>
      <c r="V18" s="37"/>
      <c r="W18" s="75"/>
      <c r="X18" s="37"/>
      <c r="Y18" s="37"/>
      <c r="Z18" s="37"/>
      <c r="AA18" s="37"/>
      <c r="AB18" s="3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65"/>
      <c r="BQ18" s="65"/>
      <c r="BR18" s="37"/>
      <c r="BS18" s="132"/>
      <c r="BT18" s="37"/>
      <c r="BU18" s="37"/>
      <c r="BV18" s="37"/>
      <c r="BW18" s="37"/>
      <c r="BX18" s="180"/>
      <c r="BY18" s="185"/>
      <c r="BZ18" s="180"/>
      <c r="CA18" s="180"/>
      <c r="CB18" s="180"/>
      <c r="CC18" s="180"/>
      <c r="CD18" s="180"/>
      <c r="CE18" s="186"/>
      <c r="CF18" s="37"/>
      <c r="CG18" s="37"/>
      <c r="CH18" s="37"/>
      <c r="CI18" s="37"/>
      <c r="CJ18" s="37"/>
      <c r="CK18" s="137"/>
      <c r="CL18" s="3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179"/>
      <c r="DY18" s="179"/>
      <c r="DZ18" s="180"/>
      <c r="EA18" s="181"/>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36"/>
      <c r="IM18" s="65"/>
      <c r="IN18" s="65"/>
      <c r="IO18" s="65"/>
      <c r="IP18" s="37"/>
      <c r="IQ18" s="132"/>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90"/>
    </row>
    <row r="19" spans="1:486" ht="20.100000000000001" customHeight="1" x14ac:dyDescent="0.25">
      <c r="A19" s="100" t="s">
        <v>20</v>
      </c>
      <c r="B19" s="63" t="str">
        <f>IF(LEN(C23)=0,"",C23)</f>
        <v>Doc - Rapport</v>
      </c>
      <c r="C19" s="217" t="s">
        <v>53</v>
      </c>
      <c r="D19" s="145" t="str">
        <f t="shared" si="0"/>
        <v>2h35min</v>
      </c>
      <c r="E19" s="39">
        <v>31</v>
      </c>
      <c r="F19" s="40"/>
      <c r="G19" s="66"/>
      <c r="H19" s="66"/>
      <c r="I19" s="66"/>
      <c r="J19" s="41"/>
      <c r="K19" s="133"/>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69"/>
      <c r="IR19" s="168"/>
      <c r="IS19" s="168"/>
      <c r="IT19" s="168"/>
      <c r="IU19" s="168"/>
      <c r="IV19" s="168"/>
      <c r="IW19" s="170"/>
      <c r="IX19" s="168"/>
      <c r="IY19" s="168"/>
      <c r="IZ19" s="168"/>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168"/>
      <c r="LB19" s="168"/>
      <c r="LC19" s="168"/>
      <c r="LD19" s="168"/>
      <c r="LE19" s="170"/>
      <c r="LF19" s="168"/>
      <c r="LG19" s="168"/>
      <c r="LH19" s="168"/>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168"/>
      <c r="NG19" s="169"/>
      <c r="NH19" s="168"/>
      <c r="NI19" s="168"/>
      <c r="NJ19" s="168"/>
      <c r="NK19" s="168"/>
      <c r="NL19" s="168"/>
      <c r="NM19" s="170"/>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168"/>
      <c r="PR19" s="168"/>
      <c r="PS19" s="168"/>
      <c r="PT19" s="168"/>
      <c r="PU19" s="170"/>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90"/>
    </row>
    <row r="20" spans="1:486" ht="20.100000000000001" customHeight="1" x14ac:dyDescent="0.25">
      <c r="A20" s="100" t="s">
        <v>21</v>
      </c>
      <c r="B20" s="63" t="str">
        <f>IF(LEN(C25)=0,"",C25)</f>
        <v>Doc - Cahier des charges</v>
      </c>
      <c r="C20" s="218"/>
      <c r="D20" s="146" t="str">
        <f t="shared" si="0"/>
        <v>2h35min</v>
      </c>
      <c r="E20" s="27">
        <v>31</v>
      </c>
      <c r="F20" s="28"/>
      <c r="G20" s="67"/>
      <c r="H20" s="67"/>
      <c r="I20" s="67"/>
      <c r="J20" s="29"/>
      <c r="K20" s="130"/>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183"/>
      <c r="GQ20" s="183"/>
      <c r="GR20" s="183"/>
      <c r="GS20" s="183"/>
      <c r="GT20" s="183"/>
      <c r="GU20" s="186"/>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183"/>
      <c r="IW20" s="188"/>
      <c r="IX20" s="183"/>
      <c r="IY20" s="183"/>
      <c r="IZ20" s="183"/>
      <c r="JA20" s="183"/>
      <c r="JB20" s="183"/>
      <c r="JC20" s="186"/>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88"/>
      <c r="LF20" s="183"/>
      <c r="LG20" s="183"/>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187"/>
      <c r="NC20" s="182"/>
      <c r="ND20" s="182"/>
      <c r="NE20" s="182"/>
      <c r="NF20" s="183"/>
      <c r="NG20" s="184"/>
      <c r="NH20" s="183"/>
      <c r="NI20" s="183"/>
      <c r="NJ20" s="183"/>
      <c r="NK20" s="183"/>
      <c r="NL20" s="183"/>
      <c r="NM20" s="188"/>
      <c r="NN20" s="183"/>
      <c r="NO20" s="183"/>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90"/>
    </row>
    <row r="21" spans="1:486" ht="20.100000000000001" customHeight="1" x14ac:dyDescent="0.25">
      <c r="A21" s="100" t="s">
        <v>20</v>
      </c>
      <c r="B21" s="63" t="str">
        <f>IF(LEN(C27)=0,"",C27)</f>
        <v>Admin - Mise en place de l'environnement</v>
      </c>
      <c r="C21" s="217" t="s">
        <v>17</v>
      </c>
      <c r="D21" s="145" t="str">
        <f t="shared" si="0"/>
        <v>1h30min</v>
      </c>
      <c r="E21" s="31">
        <v>18</v>
      </c>
      <c r="F21" s="32"/>
      <c r="G21" s="64"/>
      <c r="H21" s="64"/>
      <c r="I21" s="64"/>
      <c r="J21" s="33"/>
      <c r="K21" s="131"/>
      <c r="L21" s="33"/>
      <c r="M21" s="33"/>
      <c r="N21" s="171"/>
      <c r="O21" s="171"/>
      <c r="P21" s="33"/>
      <c r="Q21" s="136"/>
      <c r="R21" s="33"/>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171"/>
      <c r="BU21" s="171"/>
      <c r="BV21" s="171"/>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171"/>
      <c r="EM21" s="172"/>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171"/>
      <c r="GT21" s="171"/>
      <c r="GU21" s="172"/>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171"/>
      <c r="JB21" s="171"/>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171"/>
      <c r="LJ21" s="171"/>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171"/>
      <c r="NO21" s="171"/>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171"/>
      <c r="PW21" s="171"/>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90"/>
    </row>
    <row r="22" spans="1:486" ht="20.100000000000001" customHeight="1" x14ac:dyDescent="0.25">
      <c r="A22" s="100" t="s">
        <v>21</v>
      </c>
      <c r="B22" s="63" t="str">
        <f>IF(LEN(C29)=0,"",C29)</f>
        <v>Admin - Back-up</v>
      </c>
      <c r="C22" s="218"/>
      <c r="D22" s="146" t="str">
        <f t="shared" si="0"/>
        <v>1h20min</v>
      </c>
      <c r="E22" s="35">
        <v>16</v>
      </c>
      <c r="F22" s="36"/>
      <c r="G22" s="65"/>
      <c r="H22" s="65"/>
      <c r="I22" s="65"/>
      <c r="J22" s="37"/>
      <c r="K22" s="132"/>
      <c r="L22" s="37"/>
      <c r="M22" s="37"/>
      <c r="N22" s="37"/>
      <c r="O22" s="37"/>
      <c r="P22" s="37"/>
      <c r="Q22" s="137"/>
      <c r="R22" s="3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178"/>
      <c r="BO22" s="179"/>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178"/>
      <c r="DW22" s="179"/>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180"/>
      <c r="GO22" s="185"/>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178"/>
      <c r="IM22" s="179"/>
      <c r="IN22" s="179"/>
      <c r="IO22" s="179"/>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178"/>
      <c r="KU22" s="179"/>
      <c r="KV22" s="179"/>
      <c r="KW22" s="179"/>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180"/>
      <c r="NQ22" s="180"/>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90"/>
    </row>
    <row r="23" spans="1:486" ht="20.100000000000001" customHeight="1" x14ac:dyDescent="0.25">
      <c r="A23" s="100" t="s">
        <v>20</v>
      </c>
      <c r="B23" s="63" t="str">
        <f>IF(LEN(C31)=0,"",C31)</f>
        <v>Admin - Formation Python</v>
      </c>
      <c r="C23" s="217" t="s">
        <v>16</v>
      </c>
      <c r="D23" s="145" t="str">
        <f t="shared" si="0"/>
        <v>1h30min</v>
      </c>
      <c r="E23" s="39">
        <v>18</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41"/>
      <c r="DI23" s="13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41"/>
      <c r="FG23" s="41"/>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41"/>
      <c r="HO23" s="41"/>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38"/>
      <c r="JV23" s="41"/>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166"/>
      <c r="KU23" s="167"/>
      <c r="KV23" s="167"/>
      <c r="KW23" s="167"/>
      <c r="KX23" s="168"/>
      <c r="KY23" s="169"/>
      <c r="KZ23" s="168"/>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38"/>
      <c r="MD23" s="41"/>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166"/>
      <c r="NC23" s="167"/>
      <c r="ND23" s="167"/>
      <c r="NE23" s="167"/>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41"/>
      <c r="OW23" s="138"/>
      <c r="OX23" s="41"/>
      <c r="OY23" s="41"/>
      <c r="OZ23" s="41"/>
      <c r="PA23" s="41"/>
      <c r="PB23" s="41"/>
      <c r="PC23" s="76"/>
      <c r="PD23" s="41"/>
      <c r="PE23" s="41"/>
      <c r="PF23" s="41"/>
      <c r="PG23" s="41"/>
      <c r="PH23" s="41"/>
      <c r="PI23" s="42"/>
      <c r="PJ23" s="166"/>
      <c r="PK23" s="167"/>
      <c r="PL23" s="167"/>
      <c r="PM23" s="167"/>
      <c r="PN23" s="168"/>
      <c r="PO23" s="169"/>
      <c r="PP23" s="168"/>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38"/>
      <c r="QT23" s="41"/>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90"/>
    </row>
    <row r="24" spans="1:486" ht="20.100000000000001" customHeight="1" x14ac:dyDescent="0.25">
      <c r="A24" s="100" t="s">
        <v>21</v>
      </c>
      <c r="B24" s="63" t="str">
        <f>IF(LEN(C33)=0,"",C33)</f>
        <v>Tests</v>
      </c>
      <c r="C24" s="218"/>
      <c r="D24" s="146" t="str">
        <f t="shared" si="0"/>
        <v>0h</v>
      </c>
      <c r="E24" s="27">
        <v>0</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29"/>
      <c r="CN24" s="29"/>
      <c r="CO24" s="29"/>
      <c r="CP24" s="29"/>
      <c r="CQ24" s="73"/>
      <c r="CR24" s="67"/>
      <c r="CS24" s="67"/>
      <c r="CT24" s="67"/>
      <c r="CU24" s="67"/>
      <c r="CV24" s="29"/>
      <c r="CW24" s="135"/>
      <c r="CX24" s="29"/>
      <c r="CY24" s="29"/>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67"/>
      <c r="FC24" s="67"/>
      <c r="FD24" s="29"/>
      <c r="FE24" s="135"/>
      <c r="FF24" s="29"/>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29"/>
      <c r="HO24" s="29"/>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29"/>
      <c r="JU24" s="135"/>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135"/>
      <c r="MD24" s="29"/>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135"/>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29"/>
      <c r="QS24" s="135"/>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90"/>
    </row>
    <row r="25" spans="1:486" ht="20.100000000000001" customHeight="1" x14ac:dyDescent="0.25">
      <c r="A25" s="100" t="s">
        <v>20</v>
      </c>
      <c r="B25" s="63" t="e">
        <f>IF(LEN(#REF!)=0,"",#REF!)</f>
        <v>#REF!</v>
      </c>
      <c r="C25" s="217" t="s">
        <v>50</v>
      </c>
      <c r="D25" s="145" t="str">
        <f t="shared" si="0"/>
        <v>1h25min</v>
      </c>
      <c r="E25" s="31">
        <v>17</v>
      </c>
      <c r="F25" s="32"/>
      <c r="G25" s="64"/>
      <c r="H25" s="64"/>
      <c r="I25" s="64"/>
      <c r="J25" s="33"/>
      <c r="K25" s="131"/>
      <c r="L25" s="33"/>
      <c r="M25" s="33"/>
      <c r="N25" s="33"/>
      <c r="O25" s="33"/>
      <c r="P25" s="171"/>
      <c r="Q25" s="176"/>
      <c r="R25" s="171"/>
      <c r="S25" s="171"/>
      <c r="T25" s="171"/>
      <c r="U25" s="171"/>
      <c r="V25" s="171"/>
      <c r="W25" s="172"/>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171"/>
      <c r="BX25" s="171"/>
      <c r="BY25" s="176"/>
      <c r="BZ25" s="171"/>
      <c r="CA25" s="171"/>
      <c r="CB25" s="171"/>
      <c r="CC25" s="171"/>
      <c r="CD25" s="171"/>
      <c r="CE25" s="172"/>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32"/>
      <c r="NC25" s="64"/>
      <c r="ND25" s="64"/>
      <c r="NE25" s="64"/>
      <c r="NF25" s="33"/>
      <c r="NG25" s="131"/>
      <c r="NH25" s="33"/>
      <c r="NI25" s="33"/>
      <c r="NJ25" s="33"/>
      <c r="NK25" s="33"/>
      <c r="NL25" s="33"/>
      <c r="NM25" s="136"/>
      <c r="NN25" s="33"/>
      <c r="NO25" s="33"/>
      <c r="NP25" s="33"/>
      <c r="NQ25" s="33"/>
      <c r="NR25" s="33"/>
      <c r="NS25" s="74"/>
      <c r="NT25" s="33"/>
      <c r="NU25" s="33"/>
      <c r="NV25" s="33"/>
      <c r="NW25" s="33"/>
      <c r="NX25" s="33"/>
      <c r="NY25" s="136"/>
      <c r="NZ25" s="33"/>
      <c r="OA25" s="33"/>
      <c r="OB25" s="33"/>
      <c r="OC25" s="33"/>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90"/>
    </row>
    <row r="26" spans="1:486" ht="20.100000000000001" customHeight="1" x14ac:dyDescent="0.3">
      <c r="A26" s="100" t="s">
        <v>21</v>
      </c>
      <c r="B26" s="63" t="e">
        <f>IF(LEN(#REF!)=0,"",#REF!)</f>
        <v>#REF!</v>
      </c>
      <c r="C26" s="219"/>
      <c r="D26" s="147" t="str">
        <f t="shared" si="0"/>
        <v>0h35min</v>
      </c>
      <c r="E26" s="35">
        <v>7</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180"/>
      <c r="BU26" s="180"/>
      <c r="BV26" s="180"/>
      <c r="BW26" s="180"/>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180"/>
      <c r="EC26" s="180"/>
      <c r="ED26" s="180"/>
      <c r="EE26" s="37"/>
      <c r="EF26" s="37"/>
      <c r="EG26" s="137"/>
      <c r="EH26" s="37"/>
      <c r="EI26" s="37"/>
      <c r="EJ26" s="37"/>
      <c r="EK26" s="37"/>
      <c r="EL26" s="37"/>
      <c r="EM26" s="75"/>
      <c r="EN26" s="37"/>
      <c r="EO26" s="37"/>
      <c r="EP26" s="37"/>
      <c r="EQ26" s="37"/>
      <c r="ER26" s="37"/>
      <c r="ES26" s="137"/>
      <c r="ET26" s="37"/>
      <c r="EU26" s="37"/>
      <c r="EV26" s="37"/>
      <c r="EW26" s="37"/>
      <c r="EX26" s="37"/>
      <c r="EY26" s="75"/>
      <c r="EZ26" s="65"/>
      <c r="FA26" s="65"/>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37"/>
      <c r="IS26" s="37"/>
      <c r="IT26" s="37"/>
      <c r="IU26" s="37"/>
      <c r="IV26" s="37"/>
      <c r="IW26" s="137"/>
      <c r="IX26" s="37"/>
      <c r="IY26" s="37"/>
      <c r="IZ26" s="37"/>
      <c r="JA26" s="37"/>
      <c r="JB26" s="37"/>
      <c r="JC26" s="75"/>
      <c r="JD26" s="37"/>
      <c r="JE26" s="3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75"/>
      <c r="LL26" s="37"/>
      <c r="LM26" s="3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36"/>
      <c r="NC26" s="65"/>
      <c r="ND26" s="65"/>
      <c r="NE26" s="65"/>
      <c r="NF26" s="37"/>
      <c r="NG26" s="132"/>
      <c r="NH26" s="37"/>
      <c r="NI26" s="37"/>
      <c r="NJ26" s="37"/>
      <c r="NK26" s="37"/>
      <c r="NL26" s="3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90"/>
    </row>
    <row r="27" spans="1:486" ht="20.100000000000001" customHeight="1" x14ac:dyDescent="0.25">
      <c r="A27" s="100" t="s">
        <v>20</v>
      </c>
      <c r="B27" s="63" t="e">
        <f>IF(LEN(#REF!)=0,"",#REF!)</f>
        <v>#REF!</v>
      </c>
      <c r="C27" s="217" t="s">
        <v>51</v>
      </c>
      <c r="D27" s="145" t="str">
        <f t="shared" si="0"/>
        <v>1h50min</v>
      </c>
      <c r="E27" s="39">
        <v>22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166"/>
      <c r="DW27" s="167"/>
      <c r="DX27" s="167"/>
      <c r="DY27" s="167"/>
      <c r="DZ27" s="168"/>
      <c r="EA27" s="169"/>
      <c r="EB27" s="168"/>
      <c r="EC27" s="168"/>
      <c r="ED27" s="168"/>
      <c r="EE27" s="168"/>
      <c r="EF27" s="168"/>
      <c r="EG27" s="170"/>
      <c r="EH27" s="168"/>
      <c r="EI27" s="168"/>
      <c r="EJ27" s="168"/>
      <c r="EK27" s="168"/>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168"/>
      <c r="GN27" s="168"/>
      <c r="GO27" s="170"/>
      <c r="GP27" s="168"/>
      <c r="GQ27" s="168"/>
      <c r="GR27" s="168"/>
      <c r="GS27" s="41"/>
      <c r="GT27" s="41"/>
      <c r="GU27" s="76"/>
      <c r="GV27" s="41"/>
      <c r="GW27" s="41"/>
      <c r="GX27" s="41"/>
      <c r="GY27" s="41"/>
      <c r="GZ27" s="41"/>
      <c r="HA27" s="138"/>
      <c r="HB27" s="41"/>
      <c r="HC27" s="41"/>
      <c r="HD27" s="41"/>
      <c r="HE27" s="41"/>
      <c r="HF27" s="41"/>
      <c r="HG27" s="76"/>
      <c r="HH27" s="66"/>
      <c r="HI27" s="66"/>
      <c r="HJ27" s="66"/>
      <c r="HK27" s="66"/>
      <c r="HL27" s="41"/>
      <c r="HM27" s="13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40"/>
      <c r="IM27" s="66"/>
      <c r="IN27" s="66"/>
      <c r="IO27" s="66"/>
      <c r="IP27" s="41"/>
      <c r="IQ27" s="133"/>
      <c r="IR27" s="41"/>
      <c r="IS27" s="41"/>
      <c r="IT27" s="41"/>
      <c r="IU27" s="41"/>
      <c r="IV27" s="41"/>
      <c r="IW27" s="138"/>
      <c r="IX27" s="41"/>
      <c r="IY27" s="41"/>
      <c r="IZ27" s="41"/>
      <c r="JA27" s="41"/>
      <c r="JB27" s="41"/>
      <c r="JC27" s="76"/>
      <c r="JD27" s="41"/>
      <c r="JE27" s="41"/>
      <c r="JF27" s="41"/>
      <c r="JG27" s="41"/>
      <c r="JH27" s="41"/>
      <c r="JI27" s="138"/>
      <c r="JJ27" s="41"/>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40"/>
      <c r="KU27" s="66"/>
      <c r="KV27" s="66"/>
      <c r="KW27" s="66"/>
      <c r="KX27" s="41"/>
      <c r="KY27" s="133"/>
      <c r="KZ27" s="41"/>
      <c r="LA27" s="41"/>
      <c r="LB27" s="41"/>
      <c r="LC27" s="41"/>
      <c r="LD27" s="41"/>
      <c r="LE27" s="138"/>
      <c r="LF27" s="41"/>
      <c r="LG27" s="41"/>
      <c r="LH27" s="41"/>
      <c r="LI27" s="41"/>
      <c r="LJ27" s="41"/>
      <c r="LK27" s="76"/>
      <c r="LL27" s="41"/>
      <c r="LM27" s="41"/>
      <c r="LN27" s="41"/>
      <c r="LO27" s="41"/>
      <c r="LP27" s="41"/>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90"/>
    </row>
    <row r="28" spans="1:486" ht="20.100000000000001" customHeight="1" x14ac:dyDescent="0.3">
      <c r="A28" s="100" t="s">
        <v>21</v>
      </c>
      <c r="B28" s="63" t="e">
        <f>IF(LEN(#REF!)=0,"",#REF!)</f>
        <v>#REF!</v>
      </c>
      <c r="C28" s="219"/>
      <c r="D28" s="147" t="str">
        <f t="shared" si="0"/>
        <v>0h35min</v>
      </c>
      <c r="E28" s="27">
        <v>7</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182"/>
      <c r="BQ28" s="182"/>
      <c r="BR28" s="183"/>
      <c r="BS28" s="184"/>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183"/>
      <c r="GL28" s="183"/>
      <c r="GM28" s="183"/>
      <c r="GN28" s="29"/>
      <c r="GO28" s="135"/>
      <c r="GP28" s="29"/>
      <c r="GQ28" s="29"/>
      <c r="GR28" s="29"/>
      <c r="GS28" s="29"/>
      <c r="GT28" s="29"/>
      <c r="GU28" s="73"/>
      <c r="GV28" s="29"/>
      <c r="GW28" s="29"/>
      <c r="GX28" s="29"/>
      <c r="GY28" s="29"/>
      <c r="GZ28" s="29"/>
      <c r="HA28" s="135"/>
      <c r="HB28" s="29"/>
      <c r="HC28" s="29"/>
      <c r="HD28" s="29"/>
      <c r="HE28" s="29"/>
      <c r="HF28" s="29"/>
      <c r="HG28" s="73"/>
      <c r="HH28" s="67"/>
      <c r="HI28" s="67"/>
      <c r="HJ28" s="67"/>
      <c r="HK28" s="67"/>
      <c r="HL28" s="29"/>
      <c r="HM28" s="135"/>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29"/>
      <c r="JL28" s="29"/>
      <c r="JM28" s="29"/>
      <c r="JN28" s="29"/>
      <c r="JO28" s="73"/>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90"/>
    </row>
    <row r="29" spans="1:486" ht="20.100000000000001" customHeight="1" x14ac:dyDescent="0.25">
      <c r="A29" s="100" t="s">
        <v>20</v>
      </c>
      <c r="B29" s="63" t="e">
        <f>IF(LEN(#REF!)=0,"",#REF!)</f>
        <v>#REF!</v>
      </c>
      <c r="C29" s="217" t="s">
        <v>52</v>
      </c>
      <c r="D29" s="145" t="str">
        <f t="shared" si="0"/>
        <v>0h20min</v>
      </c>
      <c r="E29" s="31">
        <v>4</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33"/>
      <c r="EQ29" s="33"/>
      <c r="ER29" s="33"/>
      <c r="ES29" s="136"/>
      <c r="ET29" s="33"/>
      <c r="EU29" s="33"/>
      <c r="EV29" s="33"/>
      <c r="EW29" s="33"/>
      <c r="EX29" s="33"/>
      <c r="EY29" s="74"/>
      <c r="EZ29" s="64"/>
      <c r="FA29" s="64"/>
      <c r="FB29" s="64"/>
      <c r="FC29" s="64"/>
      <c r="FD29" s="33"/>
      <c r="FE29" s="136"/>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33"/>
      <c r="GQ29" s="33"/>
      <c r="GR29" s="33"/>
      <c r="GS29" s="33"/>
      <c r="GT29" s="33"/>
      <c r="GU29" s="74"/>
      <c r="GV29" s="33"/>
      <c r="GW29" s="33"/>
      <c r="GX29" s="33"/>
      <c r="GY29" s="33"/>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172"/>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172"/>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171"/>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171"/>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90"/>
    </row>
    <row r="30" spans="1:486" ht="20.100000000000001" customHeight="1" x14ac:dyDescent="0.3">
      <c r="A30" s="100" t="s">
        <v>21</v>
      </c>
      <c r="B30" s="63" t="e">
        <f>IF(LEN(#REF!)=0,"",#REF!)</f>
        <v>#REF!</v>
      </c>
      <c r="C30" s="219"/>
      <c r="D30" s="147" t="str">
        <f t="shared" si="0"/>
        <v>0h5min</v>
      </c>
      <c r="E30" s="35">
        <v>1</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180"/>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37"/>
      <c r="GQ30" s="37"/>
      <c r="GR30" s="37"/>
      <c r="GS30" s="37"/>
      <c r="GT30" s="37"/>
      <c r="GU30" s="75"/>
      <c r="GV30" s="37"/>
      <c r="GW30" s="37"/>
      <c r="GX30" s="37"/>
      <c r="GY30" s="3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37"/>
      <c r="JG30" s="37"/>
      <c r="JH30" s="37"/>
      <c r="JI30" s="137"/>
      <c r="JJ30" s="3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90"/>
    </row>
    <row r="31" spans="1:486" ht="20.100000000000001" customHeight="1" x14ac:dyDescent="0.25">
      <c r="A31" s="100" t="s">
        <v>20</v>
      </c>
      <c r="B31" s="63" t="e">
        <f>IF(LEN(#REF!)=0,"",#REF!)</f>
        <v>#REF!</v>
      </c>
      <c r="C31" s="217" t="s">
        <v>54</v>
      </c>
      <c r="D31" s="145" t="str">
        <f t="shared" si="0"/>
        <v>1h10min</v>
      </c>
      <c r="E31" s="39">
        <v>14</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66"/>
      <c r="CS31" s="66"/>
      <c r="CT31" s="66"/>
      <c r="CU31" s="66"/>
      <c r="CV31" s="41"/>
      <c r="CW31" s="138"/>
      <c r="CX31" s="41"/>
      <c r="CY31" s="41"/>
      <c r="CZ31" s="41"/>
      <c r="DA31" s="41"/>
      <c r="DB31" s="41"/>
      <c r="DC31" s="76"/>
      <c r="DD31" s="41"/>
      <c r="DE31" s="41"/>
      <c r="DF31" s="41"/>
      <c r="DG31" s="41"/>
      <c r="DH31" s="41"/>
      <c r="DI31" s="138"/>
      <c r="DJ31" s="41"/>
      <c r="DK31" s="41"/>
      <c r="DL31" s="41"/>
      <c r="DM31" s="41"/>
      <c r="DN31" s="41"/>
      <c r="DO31" s="76"/>
      <c r="DP31" s="41"/>
      <c r="DQ31" s="41"/>
      <c r="DR31" s="41"/>
      <c r="DS31" s="41"/>
      <c r="DT31" s="41"/>
      <c r="DU31" s="42"/>
      <c r="DV31" s="40"/>
      <c r="DW31" s="66"/>
      <c r="DX31" s="66"/>
      <c r="DY31" s="66"/>
      <c r="DZ31" s="41"/>
      <c r="EA31" s="133"/>
      <c r="EB31" s="41"/>
      <c r="EC31" s="41"/>
      <c r="ED31" s="41"/>
      <c r="EE31" s="41"/>
      <c r="EF31" s="41"/>
      <c r="EG31" s="138"/>
      <c r="EH31" s="41"/>
      <c r="EI31" s="41"/>
      <c r="EJ31" s="41"/>
      <c r="EK31" s="41"/>
      <c r="EL31" s="41"/>
      <c r="EM31" s="76"/>
      <c r="EN31" s="41"/>
      <c r="EO31" s="41"/>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66"/>
      <c r="GE31" s="167"/>
      <c r="GF31" s="167"/>
      <c r="GG31" s="167"/>
      <c r="GH31" s="168"/>
      <c r="GI31" s="169"/>
      <c r="GJ31" s="168"/>
      <c r="GK31" s="168"/>
      <c r="GL31" s="168"/>
      <c r="GM31" s="41"/>
      <c r="GN31" s="41"/>
      <c r="GO31" s="13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166"/>
      <c r="IM31" s="167"/>
      <c r="IN31" s="167"/>
      <c r="IO31" s="167"/>
      <c r="IP31" s="168"/>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90"/>
    </row>
    <row r="32" spans="1:486" ht="20.100000000000001" customHeight="1" x14ac:dyDescent="0.3">
      <c r="A32" s="100" t="s">
        <v>21</v>
      </c>
      <c r="B32" s="63" t="e">
        <f>IF(LEN(#REF!)=0,"",#REF!)</f>
        <v>#REF!</v>
      </c>
      <c r="C32" s="219"/>
      <c r="D32" s="147" t="str">
        <f t="shared" si="0"/>
        <v>2h15min</v>
      </c>
      <c r="E32" s="27">
        <v>27</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29"/>
      <c r="CP32" s="29"/>
      <c r="CQ32" s="73"/>
      <c r="CR32" s="67"/>
      <c r="CS32" s="67"/>
      <c r="CT32" s="67"/>
      <c r="CU32" s="67"/>
      <c r="CV32" s="29"/>
      <c r="CW32" s="135"/>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28"/>
      <c r="DW32" s="67"/>
      <c r="DX32" s="67"/>
      <c r="DY32" s="67"/>
      <c r="DZ32" s="29"/>
      <c r="EA32" s="130"/>
      <c r="EB32" s="29"/>
      <c r="EC32" s="29"/>
      <c r="ED32" s="29"/>
      <c r="EE32" s="29"/>
      <c r="EF32" s="183"/>
      <c r="EG32" s="188"/>
      <c r="EH32" s="183"/>
      <c r="EI32" s="183"/>
      <c r="EJ32" s="183"/>
      <c r="EK32" s="183"/>
      <c r="EL32" s="183"/>
      <c r="EM32" s="189"/>
      <c r="EN32" s="29"/>
      <c r="EO32" s="29"/>
      <c r="EP32" s="29"/>
      <c r="EQ32" s="29"/>
      <c r="ER32" s="29"/>
      <c r="ES32" s="135"/>
      <c r="ET32" s="29"/>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7"/>
      <c r="GE32" s="182"/>
      <c r="GF32" s="182"/>
      <c r="GG32" s="182"/>
      <c r="GH32" s="183"/>
      <c r="GI32" s="184"/>
      <c r="GJ32" s="183"/>
      <c r="GK32" s="29"/>
      <c r="GL32" s="29"/>
      <c r="GM32" s="29"/>
      <c r="GN32" s="29"/>
      <c r="GO32" s="135"/>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183"/>
      <c r="IQ32" s="184"/>
      <c r="IR32" s="183"/>
      <c r="IS32" s="183"/>
      <c r="IT32" s="183"/>
      <c r="IU32" s="183"/>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29"/>
      <c r="LG32" s="29"/>
      <c r="LH32" s="183"/>
      <c r="LI32" s="183"/>
      <c r="LJ32" s="183"/>
      <c r="LK32" s="189"/>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183"/>
      <c r="NS32" s="189"/>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90"/>
    </row>
    <row r="33" spans="1:486" ht="20.100000000000001" customHeight="1" x14ac:dyDescent="0.25">
      <c r="A33" s="100" t="s">
        <v>20</v>
      </c>
      <c r="B33" s="63" t="e">
        <f>IF(LEN(#REF!)=0,"",#REF!)</f>
        <v>#REF!</v>
      </c>
      <c r="C33" s="217" t="s">
        <v>65</v>
      </c>
      <c r="D33" s="145" t="str">
        <f t="shared" si="0"/>
        <v>0h30min</v>
      </c>
      <c r="E33" s="31">
        <v>6</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64"/>
      <c r="AN33" s="33"/>
      <c r="AO33" s="136"/>
      <c r="AP33" s="33"/>
      <c r="AQ33" s="33"/>
      <c r="AR33" s="33"/>
      <c r="AS33" s="33"/>
      <c r="AT33" s="33"/>
      <c r="AU33" s="74"/>
      <c r="AV33" s="33"/>
      <c r="AW33" s="33"/>
      <c r="AX33" s="33"/>
      <c r="AY33" s="33"/>
      <c r="AZ33" s="33"/>
      <c r="BA33" s="136"/>
      <c r="BB33" s="33"/>
      <c r="BC33" s="33"/>
      <c r="BD33" s="33"/>
      <c r="BE33" s="33"/>
      <c r="BF33" s="33"/>
      <c r="BG33" s="74"/>
      <c r="BH33" s="33"/>
      <c r="BI33" s="33"/>
      <c r="BJ33" s="33"/>
      <c r="BK33" s="33"/>
      <c r="BL33" s="33"/>
      <c r="BM33" s="34"/>
      <c r="BN33" s="32"/>
      <c r="BO33" s="64"/>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171"/>
      <c r="NR33" s="171"/>
      <c r="NS33" s="172"/>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171"/>
      <c r="PZ33" s="171"/>
      <c r="QA33" s="172"/>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90"/>
    </row>
    <row r="34" spans="1:486" ht="20.100000000000001" customHeight="1" x14ac:dyDescent="0.3">
      <c r="A34" s="100" t="s">
        <v>21</v>
      </c>
      <c r="B34" s="63" t="e">
        <f>IF(LEN(#REF!)=0,"",#REF!)</f>
        <v>#REF!</v>
      </c>
      <c r="C34" s="219"/>
      <c r="D34" s="147" t="str">
        <f t="shared" si="0"/>
        <v>0h</v>
      </c>
      <c r="E34" s="35">
        <v>0</v>
      </c>
      <c r="F34" s="36"/>
      <c r="G34" s="65"/>
      <c r="H34" s="65"/>
      <c r="I34" s="65"/>
      <c r="J34" s="37"/>
      <c r="K34" s="132"/>
      <c r="L34" s="37"/>
      <c r="M34" s="37"/>
      <c r="N34" s="37"/>
      <c r="O34" s="37"/>
      <c r="P34" s="37"/>
      <c r="Q34" s="137"/>
      <c r="R34" s="37"/>
      <c r="S34" s="37"/>
      <c r="T34" s="37"/>
      <c r="U34" s="37"/>
      <c r="V34" s="37"/>
      <c r="W34" s="75"/>
      <c r="X34" s="37"/>
      <c r="Y34" s="37"/>
      <c r="Z34" s="37"/>
      <c r="AA34" s="37"/>
      <c r="AB34" s="37"/>
      <c r="AC34" s="137"/>
      <c r="AD34" s="37"/>
      <c r="AE34" s="37"/>
      <c r="AF34" s="37"/>
      <c r="AG34" s="37"/>
      <c r="AH34" s="37"/>
      <c r="AI34" s="75"/>
      <c r="AJ34" s="65"/>
      <c r="AK34" s="65"/>
      <c r="AL34" s="65"/>
      <c r="AM34" s="65"/>
      <c r="AN34" s="37"/>
      <c r="AO34" s="137"/>
      <c r="AP34" s="37"/>
      <c r="AQ34" s="37"/>
      <c r="AR34" s="37"/>
      <c r="AS34" s="37"/>
      <c r="AT34" s="37"/>
      <c r="AU34" s="75"/>
      <c r="AV34" s="37"/>
      <c r="AW34" s="37"/>
      <c r="AX34" s="37"/>
      <c r="AY34" s="37"/>
      <c r="AZ34" s="37"/>
      <c r="BA34" s="137"/>
      <c r="BB34" s="37"/>
      <c r="BC34" s="37"/>
      <c r="BD34" s="37"/>
      <c r="BE34" s="37"/>
      <c r="BF34" s="37"/>
      <c r="BG34" s="75"/>
      <c r="BH34" s="37"/>
      <c r="BI34" s="37"/>
      <c r="BJ34" s="37"/>
      <c r="BK34" s="37"/>
      <c r="BL34" s="37"/>
      <c r="BM34" s="38"/>
      <c r="BN34" s="36"/>
      <c r="BO34" s="65"/>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90"/>
    </row>
    <row r="35" spans="1:486" ht="20.100000000000001" customHeight="1" x14ac:dyDescent="0.25">
      <c r="B35" s="96"/>
      <c r="C35" s="225" t="s">
        <v>9</v>
      </c>
      <c r="D35" s="226"/>
      <c r="E35" s="116">
        <f>SUM(E15,E17,E19,E21,E23,E25,E27,E29,E31,E33)</f>
        <v>144</v>
      </c>
      <c r="F35" s="70"/>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85"/>
      <c r="BN35" s="70"/>
      <c r="BO35" s="69"/>
      <c r="BP35" s="69"/>
      <c r="BQ35" s="69"/>
      <c r="BR35" s="69"/>
      <c r="BS35" s="69"/>
      <c r="BT35" s="69"/>
      <c r="BU35" s="69"/>
      <c r="BV35" s="69"/>
      <c r="BW35" s="69"/>
      <c r="BX35" s="69"/>
      <c r="BY35" s="69"/>
      <c r="BZ35" s="69"/>
      <c r="CA35" s="69"/>
      <c r="CB35" s="69"/>
      <c r="CC35" s="69"/>
      <c r="CD35" s="69"/>
      <c r="CE35" s="69"/>
      <c r="CF35" s="69"/>
      <c r="CG35" s="69"/>
      <c r="CH35" s="69"/>
      <c r="CI35" s="69"/>
      <c r="CJ35" s="69"/>
      <c r="CK35" s="69"/>
      <c r="CL35" s="69"/>
      <c r="CM35" s="69"/>
      <c r="CN35" s="69"/>
      <c r="CO35" s="69"/>
      <c r="CP35" s="69"/>
      <c r="CQ35" s="69"/>
      <c r="CR35" s="69"/>
      <c r="CS35" s="69"/>
      <c r="CT35" s="69"/>
      <c r="CU35" s="69"/>
      <c r="CV35" s="69"/>
      <c r="CW35" s="69"/>
      <c r="CX35" s="69"/>
      <c r="CY35" s="69"/>
      <c r="CZ35" s="69"/>
      <c r="DA35" s="69"/>
      <c r="DB35" s="69"/>
      <c r="DC35" s="69"/>
      <c r="DD35" s="69"/>
      <c r="DE35" s="69"/>
      <c r="DF35" s="69"/>
      <c r="DG35" s="69"/>
      <c r="DH35" s="69"/>
      <c r="DI35" s="69"/>
      <c r="DJ35" s="69"/>
      <c r="DK35" s="69"/>
      <c r="DL35" s="69"/>
      <c r="DM35" s="69"/>
      <c r="DN35" s="69"/>
      <c r="DO35" s="69"/>
      <c r="DP35" s="69"/>
      <c r="DQ35" s="69"/>
      <c r="DR35" s="69"/>
      <c r="DS35" s="69"/>
      <c r="DT35" s="69"/>
      <c r="DU35" s="85"/>
      <c r="DV35" s="70"/>
      <c r="DW35" s="69"/>
      <c r="DX35" s="69"/>
      <c r="DY35" s="69"/>
      <c r="DZ35" s="69"/>
      <c r="EA35" s="69"/>
      <c r="EB35" s="69"/>
      <c r="EC35" s="69"/>
      <c r="ED35" s="69"/>
      <c r="EE35" s="69"/>
      <c r="EF35" s="69"/>
      <c r="EG35" s="69"/>
      <c r="EH35" s="69"/>
      <c r="EI35" s="69"/>
      <c r="EJ35" s="69"/>
      <c r="EK35" s="69"/>
      <c r="EL35" s="69"/>
      <c r="EM35" s="69"/>
      <c r="EN35" s="69"/>
      <c r="EO35" s="69"/>
      <c r="EP35" s="69"/>
      <c r="EQ35" s="69"/>
      <c r="ER35" s="69"/>
      <c r="ES35" s="69"/>
      <c r="ET35" s="69"/>
      <c r="EU35" s="69"/>
      <c r="EV35" s="69"/>
      <c r="EW35" s="69"/>
      <c r="EX35" s="69"/>
      <c r="EY35" s="69"/>
      <c r="EZ35" s="69"/>
      <c r="FA35" s="69"/>
      <c r="FB35" s="69"/>
      <c r="FC35" s="69"/>
      <c r="FD35" s="69"/>
      <c r="FE35" s="69"/>
      <c r="FF35" s="69"/>
      <c r="FG35" s="69"/>
      <c r="FH35" s="69"/>
      <c r="FI35" s="69"/>
      <c r="FJ35" s="69"/>
      <c r="FK35" s="69"/>
      <c r="FL35" s="69"/>
      <c r="FM35" s="69"/>
      <c r="FN35" s="69"/>
      <c r="FO35" s="69"/>
      <c r="FP35" s="69"/>
      <c r="FQ35" s="69"/>
      <c r="FR35" s="69"/>
      <c r="FS35" s="69"/>
      <c r="FT35" s="69"/>
      <c r="FU35" s="69"/>
      <c r="FV35" s="69"/>
      <c r="FW35" s="69"/>
      <c r="FX35" s="69"/>
      <c r="FY35" s="69"/>
      <c r="FZ35" s="69"/>
      <c r="GA35" s="69"/>
      <c r="GB35" s="69"/>
      <c r="GC35" s="85"/>
      <c r="GD35" s="70"/>
      <c r="GE35" s="69"/>
      <c r="GF35" s="69"/>
      <c r="GG35" s="69"/>
      <c r="GH35" s="69"/>
      <c r="GI35" s="69"/>
      <c r="GJ35" s="69"/>
      <c r="GK35" s="69"/>
      <c r="GL35" s="69"/>
      <c r="GM35" s="69"/>
      <c r="GN35" s="69"/>
      <c r="GO35" s="69"/>
      <c r="GP35" s="69"/>
      <c r="GQ35" s="69"/>
      <c r="GR35" s="69"/>
      <c r="GS35" s="69"/>
      <c r="GT35" s="69"/>
      <c r="GU35" s="69"/>
      <c r="GV35" s="69"/>
      <c r="GW35" s="69"/>
      <c r="GX35" s="69"/>
      <c r="GY35" s="69"/>
      <c r="GZ35" s="69"/>
      <c r="HA35" s="69"/>
      <c r="HB35" s="69"/>
      <c r="HC35" s="69"/>
      <c r="HD35" s="69"/>
      <c r="HE35" s="69"/>
      <c r="HF35" s="69"/>
      <c r="HG35" s="69"/>
      <c r="HH35" s="69"/>
      <c r="HI35" s="69"/>
      <c r="HJ35" s="69"/>
      <c r="HK35" s="69"/>
      <c r="HL35" s="69"/>
      <c r="HM35" s="69"/>
      <c r="HN35" s="69"/>
      <c r="HO35" s="69"/>
      <c r="HP35" s="69"/>
      <c r="HQ35" s="69"/>
      <c r="HR35" s="69"/>
      <c r="HS35" s="69"/>
      <c r="HT35" s="69"/>
      <c r="HU35" s="69"/>
      <c r="HV35" s="69"/>
      <c r="HW35" s="69"/>
      <c r="HX35" s="69"/>
      <c r="HY35" s="69"/>
      <c r="HZ35" s="69"/>
      <c r="IA35" s="69"/>
      <c r="IB35" s="69"/>
      <c r="IC35" s="69"/>
      <c r="ID35" s="69"/>
      <c r="IE35" s="69"/>
      <c r="IF35" s="69"/>
      <c r="IG35" s="69"/>
      <c r="IH35" s="69"/>
      <c r="II35" s="69"/>
      <c r="IJ35" s="69"/>
      <c r="IK35" s="85"/>
      <c r="IL35" s="70"/>
      <c r="IM35" s="69"/>
      <c r="IN35" s="69"/>
      <c r="IO35" s="69"/>
      <c r="IP35" s="69"/>
      <c r="IQ35" s="69"/>
      <c r="IR35" s="69"/>
      <c r="IS35" s="69"/>
      <c r="IT35" s="69"/>
      <c r="IU35" s="69"/>
      <c r="IV35" s="69"/>
      <c r="IW35" s="69"/>
      <c r="IX35" s="69"/>
      <c r="IY35" s="69"/>
      <c r="IZ35" s="69"/>
      <c r="JA35" s="69"/>
      <c r="JB35" s="69"/>
      <c r="JC35" s="69"/>
      <c r="JD35" s="69"/>
      <c r="JE35" s="69"/>
      <c r="JF35" s="69"/>
      <c r="JG35" s="69"/>
      <c r="JH35" s="69"/>
      <c r="JI35" s="69"/>
      <c r="JJ35" s="69"/>
      <c r="JK35" s="69"/>
      <c r="JL35" s="69"/>
      <c r="JM35" s="69"/>
      <c r="JN35" s="69"/>
      <c r="JO35" s="69"/>
      <c r="JP35" s="69"/>
      <c r="JQ35" s="69"/>
      <c r="JR35" s="69"/>
      <c r="JS35" s="69"/>
      <c r="JT35" s="69"/>
      <c r="JU35" s="69"/>
      <c r="JV35" s="69"/>
      <c r="JW35" s="69"/>
      <c r="JX35" s="69"/>
      <c r="JY35" s="69"/>
      <c r="JZ35" s="69"/>
      <c r="KA35" s="69"/>
      <c r="KB35" s="69"/>
      <c r="KC35" s="69"/>
      <c r="KD35" s="69"/>
      <c r="KE35" s="69"/>
      <c r="KF35" s="69"/>
      <c r="KG35" s="69"/>
      <c r="KH35" s="69"/>
      <c r="KI35" s="69"/>
      <c r="KJ35" s="69"/>
      <c r="KK35" s="69"/>
      <c r="KL35" s="69"/>
      <c r="KM35" s="69"/>
      <c r="KN35" s="69"/>
      <c r="KO35" s="69"/>
      <c r="KP35" s="69"/>
      <c r="KQ35" s="69"/>
      <c r="KR35" s="69"/>
      <c r="KS35" s="85"/>
      <c r="KT35" s="70"/>
      <c r="KU35" s="69"/>
      <c r="KV35" s="69"/>
      <c r="KW35" s="69"/>
      <c r="KX35" s="69"/>
      <c r="KY35" s="69"/>
      <c r="KZ35" s="69"/>
      <c r="LA35" s="69"/>
      <c r="LB35" s="69"/>
      <c r="LC35" s="69"/>
      <c r="LD35" s="69"/>
      <c r="LE35" s="69"/>
      <c r="LF35" s="69"/>
      <c r="LG35" s="69"/>
      <c r="LH35" s="69"/>
      <c r="LI35" s="69"/>
      <c r="LJ35" s="69"/>
      <c r="LK35" s="69"/>
      <c r="LL35" s="69"/>
      <c r="LM35" s="69"/>
      <c r="LN35" s="69"/>
      <c r="LO35" s="69"/>
      <c r="LP35" s="69"/>
      <c r="LQ35" s="69"/>
      <c r="LR35" s="69"/>
      <c r="LS35" s="69"/>
      <c r="LT35" s="69"/>
      <c r="LU35" s="69"/>
      <c r="LV35" s="69"/>
      <c r="LW35" s="69"/>
      <c r="LX35" s="69"/>
      <c r="LY35" s="69"/>
      <c r="LZ35" s="69"/>
      <c r="MA35" s="69"/>
      <c r="MB35" s="69"/>
      <c r="MC35" s="69"/>
      <c r="MD35" s="69"/>
      <c r="ME35" s="69"/>
      <c r="MF35" s="69"/>
      <c r="MG35" s="69"/>
      <c r="MH35" s="69"/>
      <c r="MI35" s="69"/>
      <c r="MJ35" s="69"/>
      <c r="MK35" s="69"/>
      <c r="ML35" s="69"/>
      <c r="MM35" s="69"/>
      <c r="MN35" s="69"/>
      <c r="MO35" s="69"/>
      <c r="MP35" s="69"/>
      <c r="MQ35" s="69"/>
      <c r="MR35" s="69"/>
      <c r="MS35" s="69"/>
      <c r="MT35" s="69"/>
      <c r="MU35" s="69"/>
      <c r="MV35" s="69"/>
      <c r="MW35" s="69"/>
      <c r="MX35" s="69"/>
      <c r="MY35" s="69"/>
      <c r="MZ35" s="69"/>
      <c r="NA35" s="85"/>
      <c r="NB35" s="70"/>
      <c r="NC35" s="69"/>
      <c r="ND35" s="69"/>
      <c r="NE35" s="69"/>
      <c r="NF35" s="69"/>
      <c r="NG35" s="69"/>
      <c r="NH35" s="69"/>
      <c r="NI35" s="69"/>
      <c r="NJ35" s="69"/>
      <c r="NK35" s="69"/>
      <c r="NL35" s="69"/>
      <c r="NM35" s="69"/>
      <c r="NN35" s="69"/>
      <c r="NO35" s="69"/>
      <c r="NP35" s="69"/>
      <c r="NQ35" s="69"/>
      <c r="NR35" s="69"/>
      <c r="NS35" s="69"/>
      <c r="NT35" s="69"/>
      <c r="NU35" s="69"/>
      <c r="NV35" s="69"/>
      <c r="NW35" s="69"/>
      <c r="NX35" s="69"/>
      <c r="NY35" s="69"/>
      <c r="NZ35" s="69"/>
      <c r="OA35" s="69"/>
      <c r="OB35" s="69"/>
      <c r="OC35" s="69"/>
      <c r="OD35" s="69"/>
      <c r="OE35" s="69"/>
      <c r="OF35" s="69"/>
      <c r="OG35" s="69"/>
      <c r="OH35" s="69"/>
      <c r="OI35" s="69"/>
      <c r="OJ35" s="69"/>
      <c r="OK35" s="69"/>
      <c r="OL35" s="69"/>
      <c r="OM35" s="69"/>
      <c r="ON35" s="69"/>
      <c r="OO35" s="69"/>
      <c r="OP35" s="69"/>
      <c r="OQ35" s="69"/>
      <c r="OR35" s="69"/>
      <c r="OS35" s="69"/>
      <c r="OT35" s="69"/>
      <c r="OU35" s="69"/>
      <c r="OV35" s="69"/>
      <c r="OW35" s="69"/>
      <c r="OX35" s="69"/>
      <c r="OY35" s="69"/>
      <c r="OZ35" s="69"/>
      <c r="PA35" s="69"/>
      <c r="PB35" s="69"/>
      <c r="PC35" s="69"/>
      <c r="PD35" s="69"/>
      <c r="PE35" s="69"/>
      <c r="PF35" s="69"/>
      <c r="PG35" s="69"/>
      <c r="PH35" s="69"/>
      <c r="PI35" s="85"/>
      <c r="PJ35" s="70"/>
      <c r="PK35" s="69"/>
      <c r="PL35" s="69"/>
      <c r="PM35" s="69"/>
      <c r="PN35" s="69"/>
      <c r="PO35" s="69"/>
      <c r="PP35" s="69"/>
      <c r="PQ35" s="69"/>
      <c r="PR35" s="69"/>
      <c r="PS35" s="69"/>
      <c r="PT35" s="69"/>
      <c r="PU35" s="69"/>
      <c r="PV35" s="69"/>
      <c r="PW35" s="69"/>
      <c r="PX35" s="69"/>
      <c r="PY35" s="69"/>
      <c r="PZ35" s="69"/>
      <c r="QA35" s="69"/>
      <c r="QB35" s="69"/>
      <c r="QC35" s="69"/>
      <c r="QD35" s="69"/>
      <c r="QE35" s="69"/>
      <c r="QF35" s="69"/>
      <c r="QG35" s="69"/>
      <c r="QH35" s="69"/>
      <c r="QI35" s="69"/>
      <c r="QJ35" s="69"/>
      <c r="QK35" s="69"/>
      <c r="QL35" s="69"/>
      <c r="QM35" s="69"/>
      <c r="QN35" s="69"/>
      <c r="QO35" s="69"/>
      <c r="QP35" s="69"/>
      <c r="QQ35" s="69"/>
      <c r="QR35" s="69"/>
      <c r="QS35" s="69"/>
      <c r="QT35" s="69"/>
      <c r="QU35" s="69"/>
      <c r="QV35" s="69"/>
      <c r="QW35" s="69"/>
      <c r="QX35" s="69"/>
      <c r="QY35" s="69"/>
      <c r="QZ35" s="69"/>
      <c r="RA35" s="69"/>
      <c r="RB35" s="69"/>
      <c r="RC35" s="69"/>
      <c r="RD35" s="69"/>
      <c r="RE35" s="69"/>
      <c r="RF35" s="69"/>
      <c r="RG35" s="69"/>
      <c r="RH35" s="69"/>
      <c r="RI35" s="69"/>
      <c r="RJ35" s="69"/>
      <c r="RK35" s="69"/>
      <c r="RL35" s="69"/>
      <c r="RM35" s="69"/>
      <c r="RN35" s="69"/>
      <c r="RO35" s="69"/>
      <c r="RP35" s="69"/>
      <c r="RQ35" s="85"/>
      <c r="RR35" s="90"/>
    </row>
    <row r="36" spans="1:486" ht="20.100000000000001" customHeight="1" thickBot="1" x14ac:dyDescent="0.3">
      <c r="B36" s="96"/>
      <c r="C36" s="227"/>
      <c r="D36" s="228"/>
      <c r="E36" s="122" t="str">
        <f xml:space="preserve"> setValueToTime(E35)</f>
        <v>12h</v>
      </c>
      <c r="F36" s="111"/>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3"/>
      <c r="BN36" s="111"/>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c r="DA36" s="112"/>
      <c r="DB36" s="112"/>
      <c r="DC36" s="112"/>
      <c r="DD36" s="112"/>
      <c r="DE36" s="112"/>
      <c r="DF36" s="112"/>
      <c r="DG36" s="112"/>
      <c r="DH36" s="112"/>
      <c r="DI36" s="112"/>
      <c r="DJ36" s="112"/>
      <c r="DK36" s="112"/>
      <c r="DL36" s="112"/>
      <c r="DM36" s="112"/>
      <c r="DN36" s="112"/>
      <c r="DO36" s="112"/>
      <c r="DP36" s="112"/>
      <c r="DQ36" s="112"/>
      <c r="DR36" s="112"/>
      <c r="DS36" s="112"/>
      <c r="DT36" s="112"/>
      <c r="DU36" s="113"/>
      <c r="DV36" s="111"/>
      <c r="DW36" s="112"/>
      <c r="DX36" s="112"/>
      <c r="DY36" s="112"/>
      <c r="DZ36" s="112"/>
      <c r="EA36" s="112"/>
      <c r="EB36" s="112"/>
      <c r="EC36" s="112"/>
      <c r="ED36" s="112"/>
      <c r="EE36" s="112"/>
      <c r="EF36" s="112"/>
      <c r="EG36" s="112"/>
      <c r="EH36" s="112"/>
      <c r="EI36" s="112"/>
      <c r="EJ36" s="112"/>
      <c r="EK36" s="112"/>
      <c r="EL36" s="112"/>
      <c r="EM36" s="112"/>
      <c r="EN36" s="112"/>
      <c r="EO36" s="112"/>
      <c r="EP36" s="112"/>
      <c r="EQ36" s="112"/>
      <c r="ER36" s="112"/>
      <c r="ES36" s="112"/>
      <c r="ET36" s="112"/>
      <c r="EU36" s="112"/>
      <c r="EV36" s="112"/>
      <c r="EW36" s="112"/>
      <c r="EX36" s="112"/>
      <c r="EY36" s="112"/>
      <c r="EZ36" s="112"/>
      <c r="FA36" s="112"/>
      <c r="FB36" s="112"/>
      <c r="FC36" s="112"/>
      <c r="FD36" s="112"/>
      <c r="FE36" s="112"/>
      <c r="FF36" s="112"/>
      <c r="FG36" s="112"/>
      <c r="FH36" s="112"/>
      <c r="FI36" s="112"/>
      <c r="FJ36" s="112"/>
      <c r="FK36" s="112"/>
      <c r="FL36" s="112"/>
      <c r="FM36" s="112"/>
      <c r="FN36" s="112"/>
      <c r="FO36" s="112"/>
      <c r="FP36" s="112"/>
      <c r="FQ36" s="112"/>
      <c r="FR36" s="112"/>
      <c r="FS36" s="112"/>
      <c r="FT36" s="112"/>
      <c r="FU36" s="112"/>
      <c r="FV36" s="112"/>
      <c r="FW36" s="112"/>
      <c r="FX36" s="112"/>
      <c r="FY36" s="112"/>
      <c r="FZ36" s="112"/>
      <c r="GA36" s="112"/>
      <c r="GB36" s="112"/>
      <c r="GC36" s="113"/>
      <c r="GD36" s="111"/>
      <c r="GE36" s="112"/>
      <c r="GF36" s="112"/>
      <c r="GG36" s="112"/>
      <c r="GH36" s="112"/>
      <c r="GI36" s="112"/>
      <c r="GJ36" s="112"/>
      <c r="GK36" s="112"/>
      <c r="GL36" s="112"/>
      <c r="GM36" s="112"/>
      <c r="GN36" s="112"/>
      <c r="GO36" s="112"/>
      <c r="GP36" s="112"/>
      <c r="GQ36" s="112"/>
      <c r="GR36" s="112"/>
      <c r="GS36" s="112"/>
      <c r="GT36" s="112"/>
      <c r="GU36" s="112"/>
      <c r="GV36" s="112"/>
      <c r="GW36" s="112"/>
      <c r="GX36" s="112"/>
      <c r="GY36" s="112"/>
      <c r="GZ36" s="112"/>
      <c r="HA36" s="112"/>
      <c r="HB36" s="112"/>
      <c r="HC36" s="112"/>
      <c r="HD36" s="112"/>
      <c r="HE36" s="112"/>
      <c r="HF36" s="112"/>
      <c r="HG36" s="112"/>
      <c r="HH36" s="112"/>
      <c r="HI36" s="112"/>
      <c r="HJ36" s="112"/>
      <c r="HK36" s="112"/>
      <c r="HL36" s="112"/>
      <c r="HM36" s="112"/>
      <c r="HN36" s="112"/>
      <c r="HO36" s="112"/>
      <c r="HP36" s="112"/>
      <c r="HQ36" s="112"/>
      <c r="HR36" s="112"/>
      <c r="HS36" s="112"/>
      <c r="HT36" s="112"/>
      <c r="HU36" s="112"/>
      <c r="HV36" s="112"/>
      <c r="HW36" s="112"/>
      <c r="HX36" s="112"/>
      <c r="HY36" s="112"/>
      <c r="HZ36" s="112"/>
      <c r="IA36" s="112"/>
      <c r="IB36" s="112"/>
      <c r="IC36" s="112"/>
      <c r="ID36" s="112"/>
      <c r="IE36" s="112"/>
      <c r="IF36" s="112"/>
      <c r="IG36" s="112"/>
      <c r="IH36" s="112"/>
      <c r="II36" s="112"/>
      <c r="IJ36" s="112"/>
      <c r="IK36" s="113"/>
      <c r="IL36" s="111"/>
      <c r="IM36" s="112"/>
      <c r="IN36" s="112"/>
      <c r="IO36" s="112"/>
      <c r="IP36" s="112"/>
      <c r="IQ36" s="112"/>
      <c r="IR36" s="112"/>
      <c r="IS36" s="112"/>
      <c r="IT36" s="112"/>
      <c r="IU36" s="112"/>
      <c r="IV36" s="112"/>
      <c r="IW36" s="112"/>
      <c r="IX36" s="112"/>
      <c r="IY36" s="112"/>
      <c r="IZ36" s="112"/>
      <c r="JA36" s="112"/>
      <c r="JB36" s="112"/>
      <c r="JC36" s="112"/>
      <c r="JD36" s="112"/>
      <c r="JE36" s="112"/>
      <c r="JF36" s="112"/>
      <c r="JG36" s="112"/>
      <c r="JH36" s="112"/>
      <c r="JI36" s="112"/>
      <c r="JJ36" s="112"/>
      <c r="JK36" s="112"/>
      <c r="JL36" s="112"/>
      <c r="JM36" s="112"/>
      <c r="JN36" s="112"/>
      <c r="JO36" s="112"/>
      <c r="JP36" s="112"/>
      <c r="JQ36" s="112"/>
      <c r="JR36" s="112"/>
      <c r="JS36" s="112"/>
      <c r="JT36" s="112"/>
      <c r="JU36" s="112"/>
      <c r="JV36" s="112"/>
      <c r="JW36" s="112"/>
      <c r="JX36" s="112"/>
      <c r="JY36" s="112"/>
      <c r="JZ36" s="112"/>
      <c r="KA36" s="112"/>
      <c r="KB36" s="112"/>
      <c r="KC36" s="112"/>
      <c r="KD36" s="112"/>
      <c r="KE36" s="112"/>
      <c r="KF36" s="112"/>
      <c r="KG36" s="112"/>
      <c r="KH36" s="112"/>
      <c r="KI36" s="112"/>
      <c r="KJ36" s="112"/>
      <c r="KK36" s="112"/>
      <c r="KL36" s="112"/>
      <c r="KM36" s="112"/>
      <c r="KN36" s="112"/>
      <c r="KO36" s="112"/>
      <c r="KP36" s="112"/>
      <c r="KQ36" s="112"/>
      <c r="KR36" s="112"/>
      <c r="KS36" s="113"/>
      <c r="KT36" s="111"/>
      <c r="KU36" s="112"/>
      <c r="KV36" s="112"/>
      <c r="KW36" s="112"/>
      <c r="KX36" s="112"/>
      <c r="KY36" s="112"/>
      <c r="KZ36" s="112"/>
      <c r="LA36" s="112"/>
      <c r="LB36" s="112"/>
      <c r="LC36" s="112"/>
      <c r="LD36" s="112"/>
      <c r="LE36" s="112"/>
      <c r="LF36" s="112"/>
      <c r="LG36" s="112"/>
      <c r="LH36" s="112"/>
      <c r="LI36" s="112"/>
      <c r="LJ36" s="112"/>
      <c r="LK36" s="112"/>
      <c r="LL36" s="112"/>
      <c r="LM36" s="112"/>
      <c r="LN36" s="112"/>
      <c r="LO36" s="112"/>
      <c r="LP36" s="112"/>
      <c r="LQ36" s="112"/>
      <c r="LR36" s="112"/>
      <c r="LS36" s="112"/>
      <c r="LT36" s="112"/>
      <c r="LU36" s="112"/>
      <c r="LV36" s="112"/>
      <c r="LW36" s="112"/>
      <c r="LX36" s="112"/>
      <c r="LY36" s="112"/>
      <c r="LZ36" s="112"/>
      <c r="MA36" s="112"/>
      <c r="MB36" s="112"/>
      <c r="MC36" s="112"/>
      <c r="MD36" s="112"/>
      <c r="ME36" s="112"/>
      <c r="MF36" s="112"/>
      <c r="MG36" s="112"/>
      <c r="MH36" s="112"/>
      <c r="MI36" s="112"/>
      <c r="MJ36" s="112"/>
      <c r="MK36" s="112"/>
      <c r="ML36" s="112"/>
      <c r="MM36" s="112"/>
      <c r="MN36" s="112"/>
      <c r="MO36" s="112"/>
      <c r="MP36" s="112"/>
      <c r="MQ36" s="112"/>
      <c r="MR36" s="112"/>
      <c r="MS36" s="112"/>
      <c r="MT36" s="112"/>
      <c r="MU36" s="112"/>
      <c r="MV36" s="112"/>
      <c r="MW36" s="112"/>
      <c r="MX36" s="112"/>
      <c r="MY36" s="112"/>
      <c r="MZ36" s="112"/>
      <c r="NA36" s="113"/>
      <c r="NB36" s="111"/>
      <c r="NC36" s="112"/>
      <c r="ND36" s="112"/>
      <c r="NE36" s="112"/>
      <c r="NF36" s="112"/>
      <c r="NG36" s="112"/>
      <c r="NH36" s="112"/>
      <c r="NI36" s="112"/>
      <c r="NJ36" s="112"/>
      <c r="NK36" s="112"/>
      <c r="NL36" s="112"/>
      <c r="NM36" s="112"/>
      <c r="NN36" s="112"/>
      <c r="NO36" s="112"/>
      <c r="NP36" s="112"/>
      <c r="NQ36" s="112"/>
      <c r="NR36" s="112"/>
      <c r="NS36" s="112"/>
      <c r="NT36" s="112"/>
      <c r="NU36" s="112"/>
      <c r="NV36" s="112"/>
      <c r="NW36" s="112"/>
      <c r="NX36" s="112"/>
      <c r="NY36" s="112"/>
      <c r="NZ36" s="112"/>
      <c r="OA36" s="112"/>
      <c r="OB36" s="112"/>
      <c r="OC36" s="112"/>
      <c r="OD36" s="112"/>
      <c r="OE36" s="112"/>
      <c r="OF36" s="112"/>
      <c r="OG36" s="112"/>
      <c r="OH36" s="112"/>
      <c r="OI36" s="112"/>
      <c r="OJ36" s="112"/>
      <c r="OK36" s="112"/>
      <c r="OL36" s="112"/>
      <c r="OM36" s="112"/>
      <c r="ON36" s="112"/>
      <c r="OO36" s="112"/>
      <c r="OP36" s="112"/>
      <c r="OQ36" s="112"/>
      <c r="OR36" s="112"/>
      <c r="OS36" s="112"/>
      <c r="OT36" s="112"/>
      <c r="OU36" s="112"/>
      <c r="OV36" s="112"/>
      <c r="OW36" s="112"/>
      <c r="OX36" s="112"/>
      <c r="OY36" s="112"/>
      <c r="OZ36" s="112"/>
      <c r="PA36" s="112"/>
      <c r="PB36" s="112"/>
      <c r="PC36" s="112"/>
      <c r="PD36" s="112"/>
      <c r="PE36" s="112"/>
      <c r="PF36" s="112"/>
      <c r="PG36" s="112"/>
      <c r="PH36" s="112"/>
      <c r="PI36" s="113"/>
      <c r="PJ36" s="111"/>
      <c r="PK36" s="112"/>
      <c r="PL36" s="112"/>
      <c r="PM36" s="112"/>
      <c r="PN36" s="112"/>
      <c r="PO36" s="112"/>
      <c r="PP36" s="112"/>
      <c r="PQ36" s="112"/>
      <c r="PR36" s="112"/>
      <c r="PS36" s="112"/>
      <c r="PT36" s="112"/>
      <c r="PU36" s="112"/>
      <c r="PV36" s="112"/>
      <c r="PW36" s="112"/>
      <c r="PX36" s="112"/>
      <c r="PY36" s="112"/>
      <c r="PZ36" s="112"/>
      <c r="QA36" s="112"/>
      <c r="QB36" s="112"/>
      <c r="QC36" s="112"/>
      <c r="QD36" s="112"/>
      <c r="QE36" s="112"/>
      <c r="QF36" s="112"/>
      <c r="QG36" s="112"/>
      <c r="QH36" s="112"/>
      <c r="QI36" s="112"/>
      <c r="QJ36" s="112"/>
      <c r="QK36" s="112"/>
      <c r="QL36" s="112"/>
      <c r="QM36" s="112"/>
      <c r="QN36" s="112"/>
      <c r="QO36" s="112"/>
      <c r="QP36" s="112"/>
      <c r="QQ36" s="112"/>
      <c r="QR36" s="112"/>
      <c r="QS36" s="112"/>
      <c r="QT36" s="112"/>
      <c r="QU36" s="112"/>
      <c r="QV36" s="112"/>
      <c r="QW36" s="112"/>
      <c r="QX36" s="112"/>
      <c r="QY36" s="112"/>
      <c r="QZ36" s="112"/>
      <c r="RA36" s="112"/>
      <c r="RB36" s="112"/>
      <c r="RC36" s="112"/>
      <c r="RD36" s="112"/>
      <c r="RE36" s="112"/>
      <c r="RF36" s="112"/>
      <c r="RG36" s="112"/>
      <c r="RH36" s="112"/>
      <c r="RI36" s="112"/>
      <c r="RJ36" s="112"/>
      <c r="RK36" s="112"/>
      <c r="RL36" s="112"/>
      <c r="RM36" s="112"/>
      <c r="RN36" s="112"/>
      <c r="RO36" s="112"/>
      <c r="RP36" s="112"/>
      <c r="RQ36" s="113"/>
      <c r="RR36" s="90"/>
    </row>
    <row r="37" spans="1:486" ht="20.100000000000001" customHeight="1" x14ac:dyDescent="0.25">
      <c r="B37" s="96"/>
      <c r="C37" s="229" t="s">
        <v>10</v>
      </c>
      <c r="D37" s="230"/>
      <c r="E37" s="117">
        <f>SUM(E16,E18,E20,E22,E24,E26,E28,E30,E32,E34)</f>
        <v>126</v>
      </c>
      <c r="F37" s="114"/>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c r="AG37" s="114"/>
      <c r="AH37" s="114"/>
      <c r="AI37" s="114"/>
      <c r="AJ37" s="114"/>
      <c r="AK37" s="114"/>
      <c r="AL37" s="114"/>
      <c r="AM37" s="114"/>
      <c r="AN37" s="114"/>
      <c r="AO37" s="114"/>
      <c r="AP37" s="114"/>
      <c r="AQ37" s="114"/>
      <c r="AR37" s="114"/>
      <c r="AS37" s="114"/>
      <c r="AT37" s="114"/>
      <c r="AU37" s="114"/>
      <c r="AV37" s="114"/>
      <c r="AW37" s="114"/>
      <c r="AX37" s="114"/>
      <c r="AY37" s="114"/>
      <c r="AZ37" s="114"/>
      <c r="BA37" s="114"/>
      <c r="BB37" s="114"/>
      <c r="BC37" s="114"/>
      <c r="BD37" s="114"/>
      <c r="BE37" s="114"/>
      <c r="BF37" s="114"/>
      <c r="BG37" s="114"/>
      <c r="BH37" s="114"/>
      <c r="BI37" s="114"/>
      <c r="BJ37" s="114"/>
      <c r="BK37" s="114"/>
      <c r="BL37" s="114"/>
      <c r="BM37" s="115"/>
      <c r="BN37" s="114"/>
      <c r="BO37" s="114"/>
      <c r="BP37" s="114"/>
      <c r="BQ37" s="114"/>
      <c r="BR37" s="114"/>
      <c r="BS37" s="114"/>
      <c r="BT37" s="114"/>
      <c r="BU37" s="114"/>
      <c r="BV37" s="114"/>
      <c r="BW37" s="114"/>
      <c r="BX37" s="114"/>
      <c r="BY37" s="114"/>
      <c r="BZ37" s="114"/>
      <c r="CA37" s="114"/>
      <c r="CB37" s="114"/>
      <c r="CC37" s="114"/>
      <c r="CD37" s="114"/>
      <c r="CE37" s="114"/>
      <c r="CF37" s="114"/>
      <c r="CG37" s="114"/>
      <c r="CH37" s="114"/>
      <c r="CI37" s="114"/>
      <c r="CJ37" s="114"/>
      <c r="CK37" s="114"/>
      <c r="CL37" s="114"/>
      <c r="CM37" s="114"/>
      <c r="CN37" s="114"/>
      <c r="CO37" s="114"/>
      <c r="CP37" s="114"/>
      <c r="CQ37" s="114"/>
      <c r="CR37" s="114"/>
      <c r="CS37" s="114"/>
      <c r="CT37" s="114"/>
      <c r="CU37" s="114"/>
      <c r="CV37" s="114"/>
      <c r="CW37" s="114"/>
      <c r="CX37" s="114"/>
      <c r="CY37" s="114"/>
      <c r="CZ37" s="114"/>
      <c r="DA37" s="114"/>
      <c r="DB37" s="114"/>
      <c r="DC37" s="114"/>
      <c r="DD37" s="114"/>
      <c r="DE37" s="114"/>
      <c r="DF37" s="114"/>
      <c r="DG37" s="114"/>
      <c r="DH37" s="114"/>
      <c r="DI37" s="114"/>
      <c r="DJ37" s="114"/>
      <c r="DK37" s="114"/>
      <c r="DL37" s="114"/>
      <c r="DM37" s="114"/>
      <c r="DN37" s="114"/>
      <c r="DO37" s="114"/>
      <c r="DP37" s="114"/>
      <c r="DQ37" s="114"/>
      <c r="DR37" s="114"/>
      <c r="DS37" s="114"/>
      <c r="DT37" s="114"/>
      <c r="DU37" s="115"/>
      <c r="DV37" s="114"/>
      <c r="DW37" s="114"/>
      <c r="DX37" s="114"/>
      <c r="DY37" s="114"/>
      <c r="DZ37" s="114"/>
      <c r="EA37" s="114"/>
      <c r="EB37" s="114"/>
      <c r="EC37" s="114"/>
      <c r="ED37" s="114"/>
      <c r="EE37" s="114"/>
      <c r="EF37" s="114"/>
      <c r="EG37" s="114"/>
      <c r="EH37" s="114"/>
      <c r="EI37" s="114"/>
      <c r="EJ37" s="114"/>
      <c r="EK37" s="114"/>
      <c r="EL37" s="114"/>
      <c r="EM37" s="114"/>
      <c r="EN37" s="114"/>
      <c r="EO37" s="114"/>
      <c r="EP37" s="114"/>
      <c r="EQ37" s="114"/>
      <c r="ER37" s="114"/>
      <c r="ES37" s="114"/>
      <c r="ET37" s="114"/>
      <c r="EU37" s="114"/>
      <c r="EV37" s="114"/>
      <c r="EW37" s="114"/>
      <c r="EX37" s="114"/>
      <c r="EY37" s="114"/>
      <c r="EZ37" s="114"/>
      <c r="FA37" s="114"/>
      <c r="FB37" s="114"/>
      <c r="FC37" s="114"/>
      <c r="FD37" s="114"/>
      <c r="FE37" s="114"/>
      <c r="FF37" s="114"/>
      <c r="FG37" s="114"/>
      <c r="FH37" s="114"/>
      <c r="FI37" s="114"/>
      <c r="FJ37" s="114"/>
      <c r="FK37" s="114"/>
      <c r="FL37" s="114"/>
      <c r="FM37" s="114"/>
      <c r="FN37" s="114"/>
      <c r="FO37" s="114"/>
      <c r="FP37" s="114"/>
      <c r="FQ37" s="114"/>
      <c r="FR37" s="114"/>
      <c r="FS37" s="114"/>
      <c r="FT37" s="114"/>
      <c r="FU37" s="114"/>
      <c r="FV37" s="114"/>
      <c r="FW37" s="114"/>
      <c r="FX37" s="114"/>
      <c r="FY37" s="114"/>
      <c r="FZ37" s="114"/>
      <c r="GA37" s="114"/>
      <c r="GB37" s="114"/>
      <c r="GC37" s="115"/>
      <c r="GD37" s="114"/>
      <c r="GE37" s="114"/>
      <c r="GF37" s="114"/>
      <c r="GG37" s="114"/>
      <c r="GH37" s="114"/>
      <c r="GI37" s="114"/>
      <c r="GJ37" s="114"/>
      <c r="GK37" s="114"/>
      <c r="GL37" s="114"/>
      <c r="GM37" s="114"/>
      <c r="GN37" s="114"/>
      <c r="GO37" s="114"/>
      <c r="GP37" s="114"/>
      <c r="GQ37" s="114"/>
      <c r="GR37" s="114"/>
      <c r="GS37" s="114"/>
      <c r="GT37" s="114"/>
      <c r="GU37" s="114"/>
      <c r="GV37" s="114"/>
      <c r="GW37" s="114"/>
      <c r="GX37" s="114"/>
      <c r="GY37" s="114"/>
      <c r="GZ37" s="114"/>
      <c r="HA37" s="114"/>
      <c r="HB37" s="114"/>
      <c r="HC37" s="114"/>
      <c r="HD37" s="114"/>
      <c r="HE37" s="114"/>
      <c r="HF37" s="114"/>
      <c r="HG37" s="114"/>
      <c r="HH37" s="114"/>
      <c r="HI37" s="114"/>
      <c r="HJ37" s="114"/>
      <c r="HK37" s="114"/>
      <c r="HL37" s="114"/>
      <c r="HM37" s="114"/>
      <c r="HN37" s="114"/>
      <c r="HO37" s="114"/>
      <c r="HP37" s="114"/>
      <c r="HQ37" s="114"/>
      <c r="HR37" s="114"/>
      <c r="HS37" s="114"/>
      <c r="HT37" s="114"/>
      <c r="HU37" s="114"/>
      <c r="HV37" s="114"/>
      <c r="HW37" s="114"/>
      <c r="HX37" s="114"/>
      <c r="HY37" s="114"/>
      <c r="HZ37" s="114"/>
      <c r="IA37" s="114"/>
      <c r="IB37" s="114"/>
      <c r="IC37" s="114"/>
      <c r="ID37" s="114"/>
      <c r="IE37" s="114"/>
      <c r="IF37" s="114"/>
      <c r="IG37" s="114"/>
      <c r="IH37" s="114"/>
      <c r="II37" s="114"/>
      <c r="IJ37" s="114"/>
      <c r="IK37" s="115"/>
      <c r="IL37" s="114"/>
      <c r="IM37" s="114"/>
      <c r="IN37" s="114"/>
      <c r="IO37" s="114"/>
      <c r="IP37" s="114"/>
      <c r="IQ37" s="114"/>
      <c r="IR37" s="114"/>
      <c r="IS37" s="114"/>
      <c r="IT37" s="114"/>
      <c r="IU37" s="114"/>
      <c r="IV37" s="114"/>
      <c r="IW37" s="114"/>
      <c r="IX37" s="114"/>
      <c r="IY37" s="114"/>
      <c r="IZ37" s="114"/>
      <c r="JA37" s="114"/>
      <c r="JB37" s="114"/>
      <c r="JC37" s="114"/>
      <c r="JD37" s="114"/>
      <c r="JE37" s="114"/>
      <c r="JF37" s="114"/>
      <c r="JG37" s="114"/>
      <c r="JH37" s="114"/>
      <c r="JI37" s="114"/>
      <c r="JJ37" s="114"/>
      <c r="JK37" s="114"/>
      <c r="JL37" s="114"/>
      <c r="JM37" s="114"/>
      <c r="JN37" s="114"/>
      <c r="JO37" s="114"/>
      <c r="JP37" s="114"/>
      <c r="JQ37" s="114"/>
      <c r="JR37" s="114"/>
      <c r="JS37" s="114"/>
      <c r="JT37" s="114"/>
      <c r="JU37" s="114"/>
      <c r="JV37" s="114"/>
      <c r="JW37" s="114"/>
      <c r="JX37" s="114"/>
      <c r="JY37" s="114"/>
      <c r="JZ37" s="114"/>
      <c r="KA37" s="114"/>
      <c r="KB37" s="114"/>
      <c r="KC37" s="114"/>
      <c r="KD37" s="114"/>
      <c r="KE37" s="114"/>
      <c r="KF37" s="114"/>
      <c r="KG37" s="114"/>
      <c r="KH37" s="114"/>
      <c r="KI37" s="114"/>
      <c r="KJ37" s="114"/>
      <c r="KK37" s="114"/>
      <c r="KL37" s="114"/>
      <c r="KM37" s="114"/>
      <c r="KN37" s="114"/>
      <c r="KO37" s="114"/>
      <c r="KP37" s="114"/>
      <c r="KQ37" s="114"/>
      <c r="KR37" s="114"/>
      <c r="KS37" s="115"/>
      <c r="KT37" s="114"/>
      <c r="KU37" s="114"/>
      <c r="KV37" s="114"/>
      <c r="KW37" s="114"/>
      <c r="KX37" s="114"/>
      <c r="KY37" s="114"/>
      <c r="KZ37" s="114"/>
      <c r="LA37" s="114"/>
      <c r="LB37" s="114"/>
      <c r="LC37" s="114"/>
      <c r="LD37" s="114"/>
      <c r="LE37" s="114"/>
      <c r="LF37" s="114"/>
      <c r="LG37" s="114"/>
      <c r="LH37" s="114"/>
      <c r="LI37" s="114"/>
      <c r="LJ37" s="114"/>
      <c r="LK37" s="114"/>
      <c r="LL37" s="114"/>
      <c r="LM37" s="114"/>
      <c r="LN37" s="114"/>
      <c r="LO37" s="114"/>
      <c r="LP37" s="114"/>
      <c r="LQ37" s="114"/>
      <c r="LR37" s="114"/>
      <c r="LS37" s="114"/>
      <c r="LT37" s="114"/>
      <c r="LU37" s="114"/>
      <c r="LV37" s="114"/>
      <c r="LW37" s="114"/>
      <c r="LX37" s="114"/>
      <c r="LY37" s="114"/>
      <c r="LZ37" s="114"/>
      <c r="MA37" s="114"/>
      <c r="MB37" s="114"/>
      <c r="MC37" s="114"/>
      <c r="MD37" s="114"/>
      <c r="ME37" s="114"/>
      <c r="MF37" s="114"/>
      <c r="MG37" s="114"/>
      <c r="MH37" s="114"/>
      <c r="MI37" s="114"/>
      <c r="MJ37" s="114"/>
      <c r="MK37" s="114"/>
      <c r="ML37" s="114"/>
      <c r="MM37" s="114"/>
      <c r="MN37" s="114"/>
      <c r="MO37" s="114"/>
      <c r="MP37" s="114"/>
      <c r="MQ37" s="114"/>
      <c r="MR37" s="114"/>
      <c r="MS37" s="114"/>
      <c r="MT37" s="114"/>
      <c r="MU37" s="114"/>
      <c r="MV37" s="114"/>
      <c r="MW37" s="114"/>
      <c r="MX37" s="114"/>
      <c r="MY37" s="114"/>
      <c r="MZ37" s="114"/>
      <c r="NA37" s="115"/>
      <c r="NB37" s="114"/>
      <c r="NC37" s="114"/>
      <c r="ND37" s="114"/>
      <c r="NE37" s="114"/>
      <c r="NF37" s="114"/>
      <c r="NG37" s="114"/>
      <c r="NH37" s="114"/>
      <c r="NI37" s="114"/>
      <c r="NJ37" s="114"/>
      <c r="NK37" s="114"/>
      <c r="NL37" s="114"/>
      <c r="NM37" s="114"/>
      <c r="NN37" s="114"/>
      <c r="NO37" s="114"/>
      <c r="NP37" s="114"/>
      <c r="NQ37" s="114"/>
      <c r="NR37" s="114"/>
      <c r="NS37" s="114"/>
      <c r="NT37" s="114"/>
      <c r="NU37" s="114"/>
      <c r="NV37" s="114"/>
      <c r="NW37" s="114"/>
      <c r="NX37" s="114"/>
      <c r="NY37" s="114"/>
      <c r="NZ37" s="114"/>
      <c r="OA37" s="114"/>
      <c r="OB37" s="114"/>
      <c r="OC37" s="114"/>
      <c r="OD37" s="114"/>
      <c r="OE37" s="114"/>
      <c r="OF37" s="114"/>
      <c r="OG37" s="114"/>
      <c r="OH37" s="114"/>
      <c r="OI37" s="114"/>
      <c r="OJ37" s="114"/>
      <c r="OK37" s="114"/>
      <c r="OL37" s="114"/>
      <c r="OM37" s="114"/>
      <c r="ON37" s="114"/>
      <c r="OO37" s="114"/>
      <c r="OP37" s="114"/>
      <c r="OQ37" s="114"/>
      <c r="OR37" s="114"/>
      <c r="OS37" s="114"/>
      <c r="OT37" s="114"/>
      <c r="OU37" s="114"/>
      <c r="OV37" s="114"/>
      <c r="OW37" s="114"/>
      <c r="OX37" s="114"/>
      <c r="OY37" s="114"/>
      <c r="OZ37" s="114"/>
      <c r="PA37" s="114"/>
      <c r="PB37" s="114"/>
      <c r="PC37" s="114"/>
      <c r="PD37" s="114"/>
      <c r="PE37" s="114"/>
      <c r="PF37" s="114"/>
      <c r="PG37" s="114"/>
      <c r="PH37" s="114"/>
      <c r="PI37" s="115"/>
      <c r="PJ37" s="114"/>
      <c r="PK37" s="114"/>
      <c r="PL37" s="114"/>
      <c r="PM37" s="114"/>
      <c r="PN37" s="114"/>
      <c r="PO37" s="114"/>
      <c r="PP37" s="114"/>
      <c r="PQ37" s="114"/>
      <c r="PR37" s="114"/>
      <c r="PS37" s="114"/>
      <c r="PT37" s="114"/>
      <c r="PU37" s="114"/>
      <c r="PV37" s="114"/>
      <c r="PW37" s="114"/>
      <c r="PX37" s="114"/>
      <c r="PY37" s="114"/>
      <c r="PZ37" s="114"/>
      <c r="QA37" s="114"/>
      <c r="QB37" s="114"/>
      <c r="QC37" s="114"/>
      <c r="QD37" s="114"/>
      <c r="QE37" s="114"/>
      <c r="QF37" s="114"/>
      <c r="QG37" s="114"/>
      <c r="QH37" s="114"/>
      <c r="QI37" s="114"/>
      <c r="QJ37" s="114"/>
      <c r="QK37" s="114"/>
      <c r="QL37" s="114"/>
      <c r="QM37" s="114"/>
      <c r="QN37" s="114"/>
      <c r="QO37" s="114"/>
      <c r="QP37" s="114"/>
      <c r="QQ37" s="114"/>
      <c r="QR37" s="114"/>
      <c r="QS37" s="114"/>
      <c r="QT37" s="114"/>
      <c r="QU37" s="114"/>
      <c r="QV37" s="114"/>
      <c r="QW37" s="114"/>
      <c r="QX37" s="114"/>
      <c r="QY37" s="114"/>
      <c r="QZ37" s="114"/>
      <c r="RA37" s="114"/>
      <c r="RB37" s="114"/>
      <c r="RC37" s="114"/>
      <c r="RD37" s="114"/>
      <c r="RE37" s="114"/>
      <c r="RF37" s="114"/>
      <c r="RG37" s="114"/>
      <c r="RH37" s="114"/>
      <c r="RI37" s="114"/>
      <c r="RJ37" s="114"/>
      <c r="RK37" s="114"/>
      <c r="RL37" s="114"/>
      <c r="RM37" s="114"/>
      <c r="RN37" s="114"/>
      <c r="RO37" s="114"/>
      <c r="RP37" s="114"/>
      <c r="RQ37" s="115"/>
      <c r="RR37" s="123"/>
    </row>
    <row r="38" spans="1:486" ht="20.100000000000001" customHeight="1" thickBot="1" x14ac:dyDescent="0.3">
      <c r="B38" s="96"/>
      <c r="C38" s="231"/>
      <c r="D38" s="232"/>
      <c r="E38" s="121" t="str">
        <f xml:space="preserve"> setValueToTime(E37)</f>
        <v>10h30min</v>
      </c>
      <c r="F38" s="71"/>
      <c r="G38" s="71"/>
      <c r="H38" s="71"/>
      <c r="I38" s="71"/>
      <c r="J38" s="71"/>
      <c r="K38" s="71"/>
      <c r="L38" s="71"/>
      <c r="M38" s="71"/>
      <c r="N38" s="71"/>
      <c r="O38" s="71"/>
      <c r="P38" s="71"/>
      <c r="Q38" s="71"/>
      <c r="R38" s="71"/>
      <c r="S38" s="71"/>
      <c r="T38" s="71"/>
      <c r="U38" s="71"/>
      <c r="V38" s="71"/>
      <c r="W38" s="71"/>
      <c r="X38" s="71"/>
      <c r="Y38" s="71"/>
      <c r="Z38" s="71"/>
      <c r="AA38" s="71"/>
      <c r="AB38" s="71"/>
      <c r="AC38" s="71"/>
      <c r="AD38" s="71"/>
      <c r="AE38" s="71"/>
      <c r="AF38" s="71"/>
      <c r="AG38" s="71"/>
      <c r="AH38" s="71"/>
      <c r="AI38" s="71"/>
      <c r="AJ38" s="71"/>
      <c r="AK38" s="71"/>
      <c r="AL38" s="71"/>
      <c r="AM38" s="71"/>
      <c r="AN38" s="71"/>
      <c r="AO38" s="71"/>
      <c r="AP38" s="71"/>
      <c r="AQ38" s="71"/>
      <c r="AR38" s="71"/>
      <c r="AS38" s="71"/>
      <c r="AT38" s="71"/>
      <c r="AU38" s="71"/>
      <c r="AV38" s="71"/>
      <c r="AW38" s="71"/>
      <c r="AX38" s="71"/>
      <c r="AY38" s="71"/>
      <c r="AZ38" s="71"/>
      <c r="BA38" s="71"/>
      <c r="BB38" s="71"/>
      <c r="BC38" s="71"/>
      <c r="BD38" s="71"/>
      <c r="BE38" s="71"/>
      <c r="BF38" s="71"/>
      <c r="BG38" s="71"/>
      <c r="BH38" s="71"/>
      <c r="BI38" s="71"/>
      <c r="BJ38" s="71"/>
      <c r="BK38" s="71"/>
      <c r="BL38" s="71"/>
      <c r="BM38" s="86"/>
      <c r="BN38" s="71"/>
      <c r="BO38" s="71"/>
      <c r="BP38" s="71"/>
      <c r="BQ38" s="71"/>
      <c r="BR38" s="71"/>
      <c r="BS38" s="71"/>
      <c r="BT38" s="71"/>
      <c r="BU38" s="71"/>
      <c r="BV38" s="71"/>
      <c r="BW38" s="71"/>
      <c r="BX38" s="71"/>
      <c r="BY38" s="71"/>
      <c r="BZ38" s="71"/>
      <c r="CA38" s="71"/>
      <c r="CB38" s="71"/>
      <c r="CC38" s="71"/>
      <c r="CD38" s="71"/>
      <c r="CE38" s="71"/>
      <c r="CF38" s="71"/>
      <c r="CG38" s="71"/>
      <c r="CH38" s="71"/>
      <c r="CI38" s="71"/>
      <c r="CJ38" s="71"/>
      <c r="CK38" s="71"/>
      <c r="CL38" s="71"/>
      <c r="CM38" s="71"/>
      <c r="CN38" s="71"/>
      <c r="CO38" s="71"/>
      <c r="CP38" s="71"/>
      <c r="CQ38" s="71"/>
      <c r="CR38" s="71"/>
      <c r="CS38" s="71"/>
      <c r="CT38" s="71"/>
      <c r="CU38" s="71"/>
      <c r="CV38" s="71"/>
      <c r="CW38" s="71"/>
      <c r="CX38" s="71"/>
      <c r="CY38" s="71"/>
      <c r="CZ38" s="71"/>
      <c r="DA38" s="71"/>
      <c r="DB38" s="71"/>
      <c r="DC38" s="71"/>
      <c r="DD38" s="71"/>
      <c r="DE38" s="71"/>
      <c r="DF38" s="71"/>
      <c r="DG38" s="71"/>
      <c r="DH38" s="71"/>
      <c r="DI38" s="71"/>
      <c r="DJ38" s="71"/>
      <c r="DK38" s="71"/>
      <c r="DL38" s="71"/>
      <c r="DM38" s="71"/>
      <c r="DN38" s="71"/>
      <c r="DO38" s="71"/>
      <c r="DP38" s="71"/>
      <c r="DQ38" s="71"/>
      <c r="DR38" s="71"/>
      <c r="DS38" s="71"/>
      <c r="DT38" s="71"/>
      <c r="DU38" s="86"/>
      <c r="DV38" s="71"/>
      <c r="DW38" s="71"/>
      <c r="DX38" s="71"/>
      <c r="DY38" s="71"/>
      <c r="DZ38" s="71"/>
      <c r="EA38" s="71"/>
      <c r="EB38" s="71"/>
      <c r="EC38" s="71"/>
      <c r="ED38" s="71"/>
      <c r="EE38" s="71"/>
      <c r="EF38" s="71"/>
      <c r="EG38" s="71"/>
      <c r="EH38" s="71"/>
      <c r="EI38" s="71"/>
      <c r="EJ38" s="71"/>
      <c r="EK38" s="71"/>
      <c r="EL38" s="71"/>
      <c r="EM38" s="71"/>
      <c r="EN38" s="71"/>
      <c r="EO38" s="71"/>
      <c r="EP38" s="71"/>
      <c r="EQ38" s="71"/>
      <c r="ER38" s="71"/>
      <c r="ES38" s="71"/>
      <c r="ET38" s="71"/>
      <c r="EU38" s="71"/>
      <c r="EV38" s="71"/>
      <c r="EW38" s="71"/>
      <c r="EX38" s="71"/>
      <c r="EY38" s="71"/>
      <c r="EZ38" s="71"/>
      <c r="FA38" s="71"/>
      <c r="FB38" s="71"/>
      <c r="FC38" s="71"/>
      <c r="FD38" s="71"/>
      <c r="FE38" s="71"/>
      <c r="FF38" s="71"/>
      <c r="FG38" s="71"/>
      <c r="FH38" s="71"/>
      <c r="FI38" s="71"/>
      <c r="FJ38" s="71"/>
      <c r="FK38" s="71"/>
      <c r="FL38" s="71"/>
      <c r="FM38" s="71"/>
      <c r="FN38" s="71"/>
      <c r="FO38" s="71"/>
      <c r="FP38" s="71"/>
      <c r="FQ38" s="71"/>
      <c r="FR38" s="71"/>
      <c r="FS38" s="71"/>
      <c r="FT38" s="71"/>
      <c r="FU38" s="71"/>
      <c r="FV38" s="71"/>
      <c r="FW38" s="71"/>
      <c r="FX38" s="71"/>
      <c r="FY38" s="71"/>
      <c r="FZ38" s="71"/>
      <c r="GA38" s="71"/>
      <c r="GB38" s="71"/>
      <c r="GC38" s="86"/>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E38" s="71"/>
      <c r="HF38" s="71"/>
      <c r="HG38" s="71"/>
      <c r="HH38" s="71"/>
      <c r="HI38" s="71"/>
      <c r="HJ38" s="71"/>
      <c r="HK38" s="71"/>
      <c r="HL38" s="71"/>
      <c r="HM38" s="71"/>
      <c r="HN38" s="71"/>
      <c r="HO38" s="71"/>
      <c r="HP38" s="71"/>
      <c r="HQ38" s="71"/>
      <c r="HR38" s="71"/>
      <c r="HS38" s="71"/>
      <c r="HT38" s="71"/>
      <c r="HU38" s="71"/>
      <c r="HV38" s="71"/>
      <c r="HW38" s="71"/>
      <c r="HX38" s="71"/>
      <c r="HY38" s="71"/>
      <c r="HZ38" s="71"/>
      <c r="IA38" s="71"/>
      <c r="IB38" s="71"/>
      <c r="IC38" s="71"/>
      <c r="ID38" s="71"/>
      <c r="IE38" s="71"/>
      <c r="IF38" s="71"/>
      <c r="IG38" s="71"/>
      <c r="IH38" s="71"/>
      <c r="II38" s="71"/>
      <c r="IJ38" s="71"/>
      <c r="IK38" s="86"/>
      <c r="IL38" s="71"/>
      <c r="IM38" s="71"/>
      <c r="IN38" s="71"/>
      <c r="IO38" s="71"/>
      <c r="IP38" s="71"/>
      <c r="IQ38" s="71"/>
      <c r="IR38" s="71"/>
      <c r="IS38" s="71"/>
      <c r="IT38" s="71"/>
      <c r="IU38" s="71"/>
      <c r="IV38" s="71"/>
      <c r="IW38" s="71"/>
      <c r="IX38" s="71"/>
      <c r="IY38" s="71"/>
      <c r="IZ38" s="71"/>
      <c r="JA38" s="71"/>
      <c r="JB38" s="71"/>
      <c r="JC38" s="71"/>
      <c r="JD38" s="71"/>
      <c r="JE38" s="71"/>
      <c r="JF38" s="71"/>
      <c r="JG38" s="71"/>
      <c r="JH38" s="71"/>
      <c r="JI38" s="71"/>
      <c r="JJ38" s="71"/>
      <c r="JK38" s="71"/>
      <c r="JL38" s="71"/>
      <c r="JM38" s="71"/>
      <c r="JN38" s="71"/>
      <c r="JO38" s="71"/>
      <c r="JP38" s="71"/>
      <c r="JQ38" s="71"/>
      <c r="JR38" s="71"/>
      <c r="JS38" s="71"/>
      <c r="JT38" s="71"/>
      <c r="JU38" s="71"/>
      <c r="JV38" s="71"/>
      <c r="JW38" s="71"/>
      <c r="JX38" s="71"/>
      <c r="JY38" s="71"/>
      <c r="JZ38" s="71"/>
      <c r="KA38" s="71"/>
      <c r="KB38" s="71"/>
      <c r="KC38" s="71"/>
      <c r="KD38" s="71"/>
      <c r="KE38" s="71"/>
      <c r="KF38" s="71"/>
      <c r="KG38" s="71"/>
      <c r="KH38" s="71"/>
      <c r="KI38" s="71"/>
      <c r="KJ38" s="71"/>
      <c r="KK38" s="71"/>
      <c r="KL38" s="71"/>
      <c r="KM38" s="71"/>
      <c r="KN38" s="71"/>
      <c r="KO38" s="71"/>
      <c r="KP38" s="71"/>
      <c r="KQ38" s="71"/>
      <c r="KR38" s="71"/>
      <c r="KS38" s="86"/>
      <c r="KT38" s="71"/>
      <c r="KU38" s="71"/>
      <c r="KV38" s="71"/>
      <c r="KW38" s="71"/>
      <c r="KX38" s="71"/>
      <c r="KY38" s="71"/>
      <c r="KZ38" s="71"/>
      <c r="LA38" s="71"/>
      <c r="LB38" s="71"/>
      <c r="LC38" s="71"/>
      <c r="LD38" s="71"/>
      <c r="LE38" s="71"/>
      <c r="LF38" s="71"/>
      <c r="LG38" s="71"/>
      <c r="LH38" s="71"/>
      <c r="LI38" s="71"/>
      <c r="LJ38" s="71"/>
      <c r="LK38" s="71"/>
      <c r="LL38" s="71"/>
      <c r="LM38" s="71"/>
      <c r="LN38" s="71"/>
      <c r="LO38" s="71"/>
      <c r="LP38" s="71"/>
      <c r="LQ38" s="71"/>
      <c r="LR38" s="71"/>
      <c r="LS38" s="71"/>
      <c r="LT38" s="71"/>
      <c r="LU38" s="71"/>
      <c r="LV38" s="71"/>
      <c r="LW38" s="71"/>
      <c r="LX38" s="71"/>
      <c r="LY38" s="71"/>
      <c r="LZ38" s="71"/>
      <c r="MA38" s="71"/>
      <c r="MB38" s="71"/>
      <c r="MC38" s="71"/>
      <c r="MD38" s="71"/>
      <c r="ME38" s="71"/>
      <c r="MF38" s="71"/>
      <c r="MG38" s="71"/>
      <c r="MH38" s="71"/>
      <c r="MI38" s="71"/>
      <c r="MJ38" s="71"/>
      <c r="MK38" s="71"/>
      <c r="ML38" s="71"/>
      <c r="MM38" s="71"/>
      <c r="MN38" s="71"/>
      <c r="MO38" s="71"/>
      <c r="MP38" s="71"/>
      <c r="MQ38" s="71"/>
      <c r="MR38" s="71"/>
      <c r="MS38" s="71"/>
      <c r="MT38" s="71"/>
      <c r="MU38" s="71"/>
      <c r="MV38" s="71"/>
      <c r="MW38" s="71"/>
      <c r="MX38" s="71"/>
      <c r="MY38" s="71"/>
      <c r="MZ38" s="71"/>
      <c r="NA38" s="86"/>
      <c r="NB38" s="71"/>
      <c r="NC38" s="71"/>
      <c r="ND38" s="71"/>
      <c r="NE38" s="71"/>
      <c r="NF38" s="71"/>
      <c r="NG38" s="71"/>
      <c r="NH38" s="71"/>
      <c r="NI38" s="71"/>
      <c r="NJ38" s="71"/>
      <c r="NK38" s="71"/>
      <c r="NL38" s="71"/>
      <c r="NM38" s="71"/>
      <c r="NN38" s="71"/>
      <c r="NO38" s="71"/>
      <c r="NP38" s="71"/>
      <c r="NQ38" s="71"/>
      <c r="NR38" s="71"/>
      <c r="NS38" s="71"/>
      <c r="NT38" s="71"/>
      <c r="NU38" s="71"/>
      <c r="NV38" s="71"/>
      <c r="NW38" s="71"/>
      <c r="NX38" s="71"/>
      <c r="NY38" s="71"/>
      <c r="NZ38" s="71"/>
      <c r="OA38" s="71"/>
      <c r="OB38" s="71"/>
      <c r="OC38" s="71"/>
      <c r="OD38" s="71"/>
      <c r="OE38" s="71"/>
      <c r="OF38" s="71"/>
      <c r="OG38" s="71"/>
      <c r="OH38" s="71"/>
      <c r="OI38" s="71"/>
      <c r="OJ38" s="71"/>
      <c r="OK38" s="71"/>
      <c r="OL38" s="71"/>
      <c r="OM38" s="71"/>
      <c r="ON38" s="71"/>
      <c r="OO38" s="71"/>
      <c r="OP38" s="71"/>
      <c r="OQ38" s="71"/>
      <c r="OR38" s="71"/>
      <c r="OS38" s="71"/>
      <c r="OT38" s="71"/>
      <c r="OU38" s="71"/>
      <c r="OV38" s="71"/>
      <c r="OW38" s="71"/>
      <c r="OX38" s="71"/>
      <c r="OY38" s="71"/>
      <c r="OZ38" s="71"/>
      <c r="PA38" s="71"/>
      <c r="PB38" s="71"/>
      <c r="PC38" s="71"/>
      <c r="PD38" s="71"/>
      <c r="PE38" s="71"/>
      <c r="PF38" s="71"/>
      <c r="PG38" s="71"/>
      <c r="PH38" s="71"/>
      <c r="PI38" s="86"/>
      <c r="PJ38" s="71"/>
      <c r="PK38" s="71"/>
      <c r="PL38" s="71"/>
      <c r="PM38" s="71"/>
      <c r="PN38" s="71"/>
      <c r="PO38" s="71"/>
      <c r="PP38" s="71"/>
      <c r="PQ38" s="71"/>
      <c r="PR38" s="71"/>
      <c r="PS38" s="71"/>
      <c r="PT38" s="71"/>
      <c r="PU38" s="71"/>
      <c r="PV38" s="71"/>
      <c r="PW38" s="71"/>
      <c r="PX38" s="71"/>
      <c r="PY38" s="71"/>
      <c r="PZ38" s="71"/>
      <c r="QA38" s="71"/>
      <c r="QB38" s="71"/>
      <c r="QC38" s="71"/>
      <c r="QD38" s="71"/>
      <c r="QE38" s="71"/>
      <c r="QF38" s="71"/>
      <c r="QG38" s="71"/>
      <c r="QH38" s="71"/>
      <c r="QI38" s="71"/>
      <c r="QJ38" s="71"/>
      <c r="QK38" s="71"/>
      <c r="QL38" s="71"/>
      <c r="QM38" s="71"/>
      <c r="QN38" s="71"/>
      <c r="QO38" s="71"/>
      <c r="QP38" s="71"/>
      <c r="QQ38" s="71"/>
      <c r="QR38" s="71"/>
      <c r="QS38" s="71"/>
      <c r="QT38" s="71"/>
      <c r="QU38" s="71"/>
      <c r="QV38" s="71"/>
      <c r="QW38" s="71"/>
      <c r="QX38" s="71"/>
      <c r="QY38" s="71"/>
      <c r="QZ38" s="71"/>
      <c r="RA38" s="71"/>
      <c r="RB38" s="71"/>
      <c r="RC38" s="71"/>
      <c r="RD38" s="71"/>
      <c r="RE38" s="71"/>
      <c r="RF38" s="71"/>
      <c r="RG38" s="71"/>
      <c r="RH38" s="71"/>
      <c r="RI38" s="71"/>
      <c r="RJ38" s="71"/>
      <c r="RK38" s="71"/>
      <c r="RL38" s="71"/>
      <c r="RM38" s="71"/>
      <c r="RN38" s="71"/>
      <c r="RO38" s="71"/>
      <c r="RP38" s="71"/>
      <c r="RQ38" s="86"/>
      <c r="RR38" s="90"/>
    </row>
    <row r="39" spans="1:486" ht="20.100000000000001" customHeight="1" thickBot="1" x14ac:dyDescent="0.3">
      <c r="B39" s="98"/>
      <c r="C39" s="43"/>
      <c r="D39" s="43"/>
      <c r="E39" s="43"/>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89"/>
      <c r="CR39" s="89"/>
      <c r="CS39" s="89"/>
      <c r="CT39" s="89"/>
      <c r="CU39" s="89"/>
      <c r="CV39" s="89"/>
      <c r="CW39" s="89"/>
      <c r="CX39" s="89"/>
      <c r="CY39" s="89"/>
      <c r="CZ39" s="89"/>
      <c r="DA39" s="89"/>
      <c r="DB39" s="89"/>
      <c r="DC39" s="89"/>
      <c r="DD39" s="89"/>
      <c r="DE39" s="89"/>
      <c r="DF39" s="89"/>
      <c r="DG39" s="89"/>
      <c r="DH39" s="89"/>
      <c r="DI39" s="89"/>
      <c r="DJ39" s="89"/>
      <c r="DK39" s="89"/>
      <c r="DL39" s="89"/>
      <c r="DM39" s="89"/>
      <c r="DN39" s="89"/>
      <c r="DO39" s="89"/>
      <c r="DP39" s="89"/>
      <c r="DQ39" s="89"/>
      <c r="DR39" s="89"/>
      <c r="DS39" s="89"/>
      <c r="DT39" s="89"/>
      <c r="DU39" s="89"/>
      <c r="DV39" s="89"/>
      <c r="DW39" s="89"/>
      <c r="DX39" s="89"/>
      <c r="DY39" s="89"/>
      <c r="DZ39" s="89"/>
      <c r="EA39" s="89"/>
      <c r="EB39" s="89"/>
      <c r="EC39" s="89"/>
      <c r="ED39" s="89"/>
      <c r="EE39" s="89"/>
      <c r="EF39" s="89"/>
      <c r="EG39" s="89"/>
      <c r="EH39" s="89"/>
      <c r="EI39" s="89"/>
      <c r="EJ39" s="89"/>
      <c r="EK39" s="89"/>
      <c r="EL39" s="89"/>
      <c r="EM39" s="89"/>
      <c r="EN39" s="89"/>
      <c r="EO39" s="89"/>
      <c r="EP39" s="89"/>
      <c r="EQ39" s="89"/>
      <c r="ER39" s="89"/>
      <c r="ES39" s="89"/>
      <c r="ET39" s="89"/>
      <c r="EU39" s="89"/>
      <c r="EV39" s="89"/>
      <c r="EW39" s="89"/>
      <c r="EX39" s="89"/>
      <c r="EY39" s="89"/>
      <c r="EZ39" s="89"/>
      <c r="FA39" s="89"/>
      <c r="FB39" s="89"/>
      <c r="FC39" s="89"/>
      <c r="FD39" s="89"/>
      <c r="FE39" s="89"/>
      <c r="FF39" s="89"/>
      <c r="FG39" s="89"/>
      <c r="FH39" s="89"/>
      <c r="FI39" s="89"/>
      <c r="FJ39" s="89"/>
      <c r="FK39" s="89"/>
      <c r="FL39" s="89"/>
      <c r="FM39" s="89"/>
      <c r="FN39" s="89"/>
      <c r="FO39" s="89"/>
      <c r="FP39" s="89"/>
      <c r="FQ39" s="89"/>
      <c r="FR39" s="89"/>
      <c r="FS39" s="89"/>
      <c r="FT39" s="89"/>
      <c r="FU39" s="89"/>
      <c r="FV39" s="89"/>
      <c r="FW39" s="89"/>
      <c r="FX39" s="89"/>
      <c r="FY39" s="89"/>
      <c r="FZ39" s="89"/>
      <c r="GA39" s="89"/>
      <c r="GB39" s="89"/>
      <c r="GC39" s="89"/>
      <c r="GD39" s="89"/>
      <c r="GE39" s="89"/>
      <c r="GF39" s="89"/>
      <c r="GG39" s="89"/>
      <c r="GH39" s="89"/>
      <c r="GI39" s="89"/>
      <c r="GJ39" s="89"/>
      <c r="GK39" s="89"/>
      <c r="GL39" s="89"/>
      <c r="GM39" s="89"/>
      <c r="GN39" s="89"/>
      <c r="GO39" s="89"/>
      <c r="GP39" s="89"/>
      <c r="GQ39" s="89"/>
      <c r="GR39" s="89"/>
      <c r="GS39" s="89"/>
      <c r="GT39" s="89"/>
      <c r="GU39" s="89"/>
      <c r="GV39" s="89"/>
      <c r="GW39" s="89"/>
      <c r="GX39" s="89"/>
      <c r="GY39" s="89"/>
      <c r="GZ39" s="89"/>
      <c r="HA39" s="89"/>
      <c r="HB39" s="89"/>
      <c r="HC39" s="89"/>
      <c r="HD39" s="89"/>
      <c r="HE39" s="89"/>
      <c r="HF39" s="89"/>
      <c r="HG39" s="89"/>
      <c r="HH39" s="89"/>
      <c r="HI39" s="89"/>
      <c r="HJ39" s="89"/>
      <c r="HK39" s="89"/>
      <c r="HL39" s="89"/>
      <c r="HM39" s="89"/>
      <c r="HN39" s="89"/>
      <c r="HO39" s="89"/>
      <c r="HP39" s="89"/>
      <c r="HQ39" s="89"/>
      <c r="HR39" s="89"/>
      <c r="HS39" s="89"/>
      <c r="HT39" s="89"/>
      <c r="HU39" s="89"/>
      <c r="HV39" s="89"/>
      <c r="HW39" s="89"/>
      <c r="HX39" s="89"/>
      <c r="HY39" s="89"/>
      <c r="HZ39" s="89"/>
      <c r="IA39" s="89"/>
      <c r="IB39" s="89"/>
      <c r="IC39" s="89"/>
      <c r="ID39" s="89"/>
      <c r="IE39" s="89"/>
      <c r="IF39" s="89"/>
      <c r="IG39" s="89"/>
      <c r="IH39" s="89"/>
      <c r="II39" s="89"/>
      <c r="IJ39" s="89"/>
      <c r="IK39" s="89"/>
      <c r="IL39" s="89"/>
      <c r="IM39" s="89"/>
      <c r="IN39" s="89"/>
      <c r="IO39" s="89"/>
      <c r="IP39" s="89"/>
      <c r="IQ39" s="89"/>
      <c r="IR39" s="89"/>
      <c r="IS39" s="89"/>
      <c r="IT39" s="89"/>
      <c r="IU39" s="89"/>
      <c r="IV39" s="89"/>
      <c r="IW39" s="89"/>
      <c r="IX39" s="89"/>
      <c r="IY39" s="89"/>
      <c r="IZ39" s="89"/>
      <c r="JA39" s="89"/>
      <c r="JB39" s="89"/>
      <c r="JC39" s="89"/>
      <c r="JD39" s="89"/>
      <c r="JE39" s="89"/>
      <c r="JF39" s="89"/>
      <c r="JG39" s="89"/>
      <c r="JH39" s="89"/>
      <c r="JI39" s="89"/>
      <c r="JJ39" s="89"/>
      <c r="JK39" s="89"/>
      <c r="JL39" s="89"/>
      <c r="JM39" s="89"/>
      <c r="JN39" s="89"/>
      <c r="JO39" s="89"/>
      <c r="JP39" s="89"/>
      <c r="JQ39" s="89"/>
      <c r="JR39" s="89"/>
      <c r="JS39" s="89"/>
      <c r="JT39" s="89"/>
      <c r="JU39" s="89"/>
      <c r="JV39" s="89"/>
      <c r="JW39" s="89"/>
      <c r="JX39" s="89"/>
      <c r="JY39" s="89"/>
      <c r="JZ39" s="89"/>
      <c r="KA39" s="89"/>
      <c r="KB39" s="89"/>
      <c r="KC39" s="89"/>
      <c r="KD39" s="89"/>
      <c r="KE39" s="89"/>
      <c r="KF39" s="89"/>
      <c r="KG39" s="89"/>
      <c r="KH39" s="89"/>
      <c r="KI39" s="89"/>
      <c r="KJ39" s="89"/>
      <c r="KK39" s="89"/>
      <c r="KL39" s="89"/>
      <c r="KM39" s="89"/>
      <c r="KN39" s="89"/>
      <c r="KO39" s="89"/>
      <c r="KP39" s="89"/>
      <c r="KQ39" s="89"/>
      <c r="KR39" s="89"/>
      <c r="KS39" s="89"/>
      <c r="KT39" s="89"/>
      <c r="KU39" s="89"/>
      <c r="KV39" s="89"/>
      <c r="KW39" s="89"/>
      <c r="KX39" s="89"/>
      <c r="KY39" s="89"/>
      <c r="KZ39" s="89"/>
      <c r="LA39" s="89"/>
      <c r="LB39" s="89"/>
      <c r="LC39" s="89"/>
      <c r="LD39" s="89"/>
      <c r="LE39" s="89"/>
      <c r="LF39" s="89"/>
      <c r="LG39" s="89"/>
      <c r="LH39" s="89"/>
      <c r="LI39" s="89"/>
      <c r="LJ39" s="89"/>
      <c r="LK39" s="89"/>
      <c r="LL39" s="89"/>
      <c r="LM39" s="89"/>
      <c r="LN39" s="89"/>
      <c r="LO39" s="89"/>
      <c r="LP39" s="89"/>
      <c r="LQ39" s="89"/>
      <c r="LR39" s="89"/>
      <c r="LS39" s="89"/>
      <c r="LT39" s="89"/>
      <c r="LU39" s="89"/>
      <c r="LV39" s="89"/>
      <c r="LW39" s="89"/>
      <c r="LX39" s="89"/>
      <c r="LY39" s="89"/>
      <c r="LZ39" s="89"/>
      <c r="MA39" s="89"/>
      <c r="MB39" s="89"/>
      <c r="MC39" s="89"/>
      <c r="MD39" s="89"/>
      <c r="ME39" s="89"/>
      <c r="MF39" s="89"/>
      <c r="MG39" s="89"/>
      <c r="MH39" s="89"/>
      <c r="MI39" s="89"/>
      <c r="MJ39" s="89"/>
      <c r="MK39" s="89"/>
      <c r="ML39" s="89"/>
      <c r="MM39" s="89"/>
      <c r="MN39" s="89"/>
      <c r="MO39" s="89"/>
      <c r="MP39" s="89"/>
      <c r="MQ39" s="89"/>
      <c r="MR39" s="89"/>
      <c r="MS39" s="89"/>
      <c r="MT39" s="89"/>
      <c r="MU39" s="89"/>
      <c r="MV39" s="89"/>
      <c r="MW39" s="89"/>
      <c r="MX39" s="89"/>
      <c r="MY39" s="89"/>
      <c r="MZ39" s="89"/>
      <c r="NA39" s="89"/>
      <c r="NB39" s="89"/>
      <c r="NC39" s="89"/>
      <c r="ND39" s="89"/>
      <c r="NE39" s="89"/>
      <c r="NF39" s="89"/>
      <c r="NG39" s="89"/>
      <c r="NH39" s="89"/>
      <c r="NI39" s="89"/>
      <c r="NJ39" s="89"/>
      <c r="NK39" s="89"/>
      <c r="NL39" s="89"/>
      <c r="NM39" s="89"/>
      <c r="NN39" s="89"/>
      <c r="NO39" s="89"/>
      <c r="NP39" s="89"/>
      <c r="NQ39" s="89"/>
      <c r="NR39" s="89"/>
      <c r="NS39" s="89"/>
      <c r="NT39" s="89"/>
      <c r="NU39" s="89"/>
      <c r="NV39" s="89"/>
      <c r="NW39" s="89"/>
      <c r="NX39" s="89"/>
      <c r="NY39" s="89"/>
      <c r="NZ39" s="89"/>
      <c r="OA39" s="89"/>
      <c r="OB39" s="89"/>
      <c r="OC39" s="89"/>
      <c r="OD39" s="89"/>
      <c r="OE39" s="89"/>
      <c r="OF39" s="89"/>
      <c r="OG39" s="89"/>
      <c r="OH39" s="89"/>
      <c r="OI39" s="89"/>
      <c r="OJ39" s="89"/>
      <c r="OK39" s="89"/>
      <c r="OL39" s="89"/>
      <c r="OM39" s="89"/>
      <c r="ON39" s="89"/>
      <c r="OO39" s="89"/>
      <c r="OP39" s="89"/>
      <c r="OQ39" s="89"/>
      <c r="OR39" s="89"/>
      <c r="OS39" s="89"/>
      <c r="OT39" s="89"/>
      <c r="OU39" s="89"/>
      <c r="OV39" s="89"/>
      <c r="OW39" s="89"/>
      <c r="OX39" s="89"/>
      <c r="OY39" s="89"/>
      <c r="OZ39" s="89"/>
      <c r="PA39" s="89"/>
      <c r="PB39" s="89"/>
      <c r="PC39" s="89"/>
      <c r="PD39" s="89"/>
      <c r="PE39" s="89"/>
      <c r="PF39" s="89"/>
      <c r="PG39" s="89"/>
      <c r="PH39" s="89"/>
      <c r="PI39" s="89"/>
      <c r="PJ39" s="89"/>
      <c r="PK39" s="89"/>
      <c r="PL39" s="89"/>
      <c r="PM39" s="89"/>
      <c r="PN39" s="89"/>
      <c r="PO39" s="89"/>
      <c r="PP39" s="89"/>
      <c r="PQ39" s="89"/>
      <c r="PR39" s="89"/>
      <c r="PS39" s="89"/>
      <c r="PT39" s="89"/>
      <c r="PU39" s="89"/>
      <c r="PV39" s="89"/>
      <c r="PW39" s="89"/>
      <c r="PX39" s="89"/>
      <c r="PY39" s="89"/>
      <c r="PZ39" s="89"/>
      <c r="QA39" s="89"/>
      <c r="QB39" s="89"/>
      <c r="QC39" s="89"/>
      <c r="QD39" s="89"/>
      <c r="QE39" s="89"/>
      <c r="QF39" s="89"/>
      <c r="QG39" s="89"/>
      <c r="QH39" s="89"/>
      <c r="QI39" s="89"/>
      <c r="QJ39" s="89"/>
      <c r="QK39" s="89"/>
      <c r="QL39" s="89"/>
      <c r="QM39" s="89"/>
      <c r="QN39" s="89"/>
      <c r="QO39" s="89"/>
      <c r="QP39" s="89"/>
      <c r="QQ39" s="89"/>
      <c r="QR39" s="89"/>
      <c r="QS39" s="89"/>
      <c r="QT39" s="89"/>
      <c r="QU39" s="89"/>
      <c r="QV39" s="89"/>
      <c r="QW39" s="89"/>
      <c r="QX39" s="89"/>
      <c r="QY39" s="89"/>
      <c r="QZ39" s="89"/>
      <c r="RA39" s="89"/>
      <c r="RB39" s="89"/>
      <c r="RC39" s="89"/>
      <c r="RD39" s="89"/>
      <c r="RE39" s="89"/>
      <c r="RF39" s="89"/>
      <c r="RG39" s="89"/>
      <c r="RH39" s="89"/>
      <c r="RI39" s="89"/>
      <c r="RJ39" s="89"/>
      <c r="RK39" s="89"/>
      <c r="RL39" s="89"/>
      <c r="RM39" s="89"/>
      <c r="RN39" s="89"/>
      <c r="RO39" s="89"/>
      <c r="RP39" s="89"/>
      <c r="RQ39" s="89"/>
      <c r="RR39" s="91"/>
    </row>
  </sheetData>
  <sheetProtection insertRows="0" insertHyperlinks="0" selectLockedCells="1"/>
  <mergeCells count="124">
    <mergeCell ref="DV11:GC11"/>
    <mergeCell ref="DV12:GC12"/>
    <mergeCell ref="DV13:GC13"/>
    <mergeCell ref="GD12:IK12"/>
    <mergeCell ref="GD13:IK13"/>
    <mergeCell ref="GH14:GK14"/>
    <mergeCell ref="GN14:GQ14"/>
    <mergeCell ref="GT14:GW14"/>
    <mergeCell ref="GZ14:HC14"/>
    <mergeCell ref="HF14:HI14"/>
    <mergeCell ref="HL14:HO14"/>
    <mergeCell ref="HR14:HU14"/>
    <mergeCell ref="HX14:IA14"/>
    <mergeCell ref="C35:D36"/>
    <mergeCell ref="C31:C32"/>
    <mergeCell ref="C33:C34"/>
    <mergeCell ref="C37:D38"/>
    <mergeCell ref="CP14:CS14"/>
    <mergeCell ref="CV14:CY14"/>
    <mergeCell ref="DB14:DE14"/>
    <mergeCell ref="AN14:AQ14"/>
    <mergeCell ref="AT14:AW14"/>
    <mergeCell ref="AZ14:BC14"/>
    <mergeCell ref="BF14:BI14"/>
    <mergeCell ref="BR14:BU14"/>
    <mergeCell ref="BX14:CA14"/>
    <mergeCell ref="CD14:CG14"/>
    <mergeCell ref="CJ14:CM14"/>
    <mergeCell ref="C17:C18"/>
    <mergeCell ref="C23:C24"/>
    <mergeCell ref="C25:C26"/>
    <mergeCell ref="C27:C28"/>
    <mergeCell ref="C13:C14"/>
    <mergeCell ref="E13:E14"/>
    <mergeCell ref="C29:C30"/>
    <mergeCell ref="C19:C20"/>
    <mergeCell ref="F13:BM13"/>
    <mergeCell ref="G9:U9"/>
    <mergeCell ref="DZ14:EC14"/>
    <mergeCell ref="EL14:EO14"/>
    <mergeCell ref="C21:C22"/>
    <mergeCell ref="C15:C16"/>
    <mergeCell ref="C11:E12"/>
    <mergeCell ref="EX14:FA14"/>
    <mergeCell ref="C1:E1"/>
    <mergeCell ref="C7:E7"/>
    <mergeCell ref="F12:BM12"/>
    <mergeCell ref="F11:BM11"/>
    <mergeCell ref="W9:AG9"/>
    <mergeCell ref="AH9:AW9"/>
    <mergeCell ref="EF14:EI14"/>
    <mergeCell ref="ER14:EU14"/>
    <mergeCell ref="V14:Y14"/>
    <mergeCell ref="AB14:AE14"/>
    <mergeCell ref="AH14:AK14"/>
    <mergeCell ref="J14:M14"/>
    <mergeCell ref="P14:S14"/>
    <mergeCell ref="BN13:DU13"/>
    <mergeCell ref="DH14:DK14"/>
    <mergeCell ref="DN14:DQ14"/>
    <mergeCell ref="DV10:GC10"/>
    <mergeCell ref="IL10:KS10"/>
    <mergeCell ref="IL11:KS11"/>
    <mergeCell ref="IL12:KS12"/>
    <mergeCell ref="CR10:DU10"/>
    <mergeCell ref="BN10:CP10"/>
    <mergeCell ref="BN11:DU11"/>
    <mergeCell ref="BN12:DU12"/>
    <mergeCell ref="IL13:KS13"/>
    <mergeCell ref="IP14:IS14"/>
    <mergeCell ref="IV14:IY14"/>
    <mergeCell ref="JB14:JE14"/>
    <mergeCell ref="JH14:JK14"/>
    <mergeCell ref="JN14:JQ14"/>
    <mergeCell ref="JT14:JW14"/>
    <mergeCell ref="JZ14:KC14"/>
    <mergeCell ref="KF14:KI14"/>
    <mergeCell ref="KL14:KO14"/>
    <mergeCell ref="FJ14:FM14"/>
    <mergeCell ref="FV14:FY14"/>
    <mergeCell ref="FD14:FG14"/>
    <mergeCell ref="ID14:IG14"/>
    <mergeCell ref="FP14:FS14"/>
    <mergeCell ref="GD10:IK10"/>
    <mergeCell ref="GD11:IK11"/>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36"/>
    <dataValidation type="whole" allowBlank="1" showInputMessage="1" showErrorMessage="1" errorTitle="DureeTropLongue" error="Cette durée est invalide: ce n'est pas un chiffre entier positif ou elle dépasse la &quot;Durée totale&quot; définie plus haut ..." sqref="E17:E35">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96"/>
  <sheetViews>
    <sheetView showGridLines="0" zoomScaleNormal="100" zoomScaleSheetLayoutView="98" workbookViewId="0">
      <pane ySplit="1" topLeftCell="A2" activePane="bottomLeft" state="frozen"/>
      <selection activeCell="BC13" sqref="BC13"/>
      <selection pane="bottomLeft" activeCell="G96" sqref="G96"/>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4.4257812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8</v>
      </c>
      <c r="C2" s="162"/>
      <c r="D2" s="82" t="s">
        <v>15</v>
      </c>
      <c r="E2" s="94">
        <v>45366</v>
      </c>
      <c r="F2" s="125" t="s">
        <v>47</v>
      </c>
      <c r="G2" s="46"/>
    </row>
    <row r="3" spans="1:7" s="47" customFormat="1" ht="30" customHeight="1" thickBot="1" x14ac:dyDescent="0.3">
      <c r="A3" s="80" t="s">
        <v>5</v>
      </c>
      <c r="B3" s="149" t="s">
        <v>41</v>
      </c>
      <c r="C3" s="150"/>
      <c r="D3" s="80" t="s">
        <v>13</v>
      </c>
      <c r="E3" s="243" t="s">
        <v>14</v>
      </c>
      <c r="F3" s="244"/>
      <c r="G3" s="46"/>
    </row>
    <row r="4" spans="1:7" s="52" customFormat="1" x14ac:dyDescent="0.3">
      <c r="A4" s="48" t="s">
        <v>16</v>
      </c>
      <c r="B4" s="49">
        <v>7</v>
      </c>
      <c r="C4" s="151" t="str">
        <f xml:space="preserve"> IF(B4="","",setValueToTime(B4))</f>
        <v>0h35min</v>
      </c>
      <c r="D4" s="164" t="s">
        <v>66</v>
      </c>
      <c r="E4" s="245"/>
      <c r="F4" s="246"/>
      <c r="G4" s="51"/>
    </row>
    <row r="5" spans="1:7" s="52" customFormat="1" x14ac:dyDescent="0.3">
      <c r="A5" s="53" t="s">
        <v>53</v>
      </c>
      <c r="B5" s="54">
        <v>5</v>
      </c>
      <c r="C5" s="152" t="str">
        <f t="shared" ref="C5:C11" si="0" xml:space="preserve"> IF(B5="","",setValueToTime(B5))</f>
        <v>0h25min</v>
      </c>
      <c r="D5" s="165" t="s">
        <v>69</v>
      </c>
      <c r="E5" s="237"/>
      <c r="F5" s="238"/>
      <c r="G5" s="51"/>
    </row>
    <row r="6" spans="1:7" s="52" customFormat="1" x14ac:dyDescent="0.3">
      <c r="A6" s="53" t="s">
        <v>17</v>
      </c>
      <c r="B6" s="54">
        <v>2</v>
      </c>
      <c r="C6" s="152" t="str">
        <f t="shared" si="0"/>
        <v>0h10min</v>
      </c>
      <c r="D6" s="165" t="s">
        <v>56</v>
      </c>
      <c r="E6" s="237"/>
      <c r="F6" s="238"/>
      <c r="G6" s="51"/>
    </row>
    <row r="7" spans="1:7" s="52" customFormat="1" x14ac:dyDescent="0.3">
      <c r="A7" s="53" t="s">
        <v>52</v>
      </c>
      <c r="B7" s="54">
        <v>1</v>
      </c>
      <c r="C7" s="152" t="str">
        <f t="shared" si="0"/>
        <v>0h5min</v>
      </c>
      <c r="D7" s="165" t="s">
        <v>64</v>
      </c>
      <c r="E7" s="237"/>
      <c r="F7" s="238"/>
      <c r="G7" s="51"/>
    </row>
    <row r="8" spans="1:7" s="52" customFormat="1" x14ac:dyDescent="0.3">
      <c r="A8" s="54" t="s">
        <v>65</v>
      </c>
      <c r="B8" s="54">
        <v>3</v>
      </c>
      <c r="C8" s="153" t="str">
        <f t="shared" si="0"/>
        <v>0h15min</v>
      </c>
      <c r="D8" s="165" t="s">
        <v>68</v>
      </c>
      <c r="E8" s="237"/>
      <c r="F8" s="238"/>
      <c r="G8" s="51"/>
    </row>
    <row r="9" spans="1:7" s="52" customFormat="1" x14ac:dyDescent="0.3">
      <c r="A9" s="54"/>
      <c r="B9" s="54"/>
      <c r="C9" s="153" t="str">
        <f t="shared" si="0"/>
        <v/>
      </c>
      <c r="D9" s="55"/>
      <c r="E9" s="237"/>
      <c r="F9" s="238"/>
      <c r="G9" s="51"/>
    </row>
    <row r="10" spans="1:7" s="52" customFormat="1" x14ac:dyDescent="0.3">
      <c r="A10" s="54"/>
      <c r="B10" s="54"/>
      <c r="C10" s="153" t="str">
        <f t="shared" si="0"/>
        <v/>
      </c>
      <c r="D10" s="55"/>
      <c r="E10" s="237"/>
      <c r="F10" s="238"/>
      <c r="G10" s="51"/>
    </row>
    <row r="11" spans="1:7" s="52" customFormat="1" ht="15" thickBot="1" x14ac:dyDescent="0.35">
      <c r="A11" s="56"/>
      <c r="B11" s="56"/>
      <c r="C11" s="154" t="str">
        <f t="shared" si="0"/>
        <v/>
      </c>
      <c r="D11" s="57"/>
      <c r="E11" s="239"/>
      <c r="F11" s="240"/>
      <c r="G11" s="51"/>
    </row>
    <row r="12" spans="1:7" s="52" customFormat="1" ht="15" thickBot="1" x14ac:dyDescent="0.35">
      <c r="A12" s="110" t="s">
        <v>29</v>
      </c>
      <c r="B12" s="84">
        <f>SUM(B4:B11)</f>
        <v>18</v>
      </c>
      <c r="C12" s="110" t="str">
        <f xml:space="preserve"> setValueToTime(B12)</f>
        <v>1h30min</v>
      </c>
      <c r="D12" s="119"/>
      <c r="E12" s="241"/>
      <c r="F12" s="242"/>
      <c r="G12" s="51"/>
    </row>
    <row r="13" spans="1:7" s="59" customFormat="1" ht="15" thickBot="1" x14ac:dyDescent="0.35">
      <c r="A13" s="79"/>
      <c r="B13" s="79"/>
      <c r="C13" s="79"/>
      <c r="D13" s="79"/>
      <c r="E13" s="79"/>
      <c r="F13" s="79"/>
      <c r="G13" s="58"/>
    </row>
    <row r="14" spans="1:7" s="47" customFormat="1" ht="30" customHeight="1" thickBot="1" x14ac:dyDescent="0.3">
      <c r="A14" s="81" t="s">
        <v>12</v>
      </c>
      <c r="B14" s="162">
        <v>7</v>
      </c>
      <c r="C14" s="162"/>
      <c r="D14" s="82" t="s">
        <v>15</v>
      </c>
      <c r="E14" s="94">
        <v>45359</v>
      </c>
      <c r="F14" s="125" t="s">
        <v>47</v>
      </c>
      <c r="G14" s="46"/>
    </row>
    <row r="15" spans="1:7" s="47" customFormat="1" ht="30" customHeight="1" thickBot="1" x14ac:dyDescent="0.3">
      <c r="A15" s="80" t="s">
        <v>5</v>
      </c>
      <c r="B15" s="149" t="s">
        <v>41</v>
      </c>
      <c r="C15" s="150"/>
      <c r="D15" s="80" t="s">
        <v>13</v>
      </c>
      <c r="E15" s="243" t="s">
        <v>14</v>
      </c>
      <c r="F15" s="244"/>
      <c r="G15" s="46"/>
    </row>
    <row r="16" spans="1:7" s="52" customFormat="1" x14ac:dyDescent="0.3">
      <c r="A16" s="48" t="s">
        <v>16</v>
      </c>
      <c r="B16" s="49">
        <v>4</v>
      </c>
      <c r="C16" s="151" t="str">
        <f xml:space="preserve"> IF(B16="","",setValueToTime(B16))</f>
        <v>0h20min</v>
      </c>
      <c r="D16" s="164" t="s">
        <v>66</v>
      </c>
      <c r="E16" s="245"/>
      <c r="F16" s="246"/>
      <c r="G16" s="51"/>
    </row>
    <row r="17" spans="1:7" s="52" customFormat="1" x14ac:dyDescent="0.3">
      <c r="A17" s="53" t="s">
        <v>53</v>
      </c>
      <c r="B17" s="54">
        <v>8</v>
      </c>
      <c r="C17" s="152" t="str">
        <f t="shared" ref="C17:C23" si="1" xml:space="preserve"> IF(B17="","",setValueToTime(B17))</f>
        <v>0h40min</v>
      </c>
      <c r="D17" s="165" t="s">
        <v>67</v>
      </c>
      <c r="E17" s="237"/>
      <c r="F17" s="238"/>
      <c r="G17" s="51"/>
    </row>
    <row r="18" spans="1:7" s="52" customFormat="1" x14ac:dyDescent="0.3">
      <c r="A18" s="53" t="s">
        <v>17</v>
      </c>
      <c r="B18" s="54">
        <v>2</v>
      </c>
      <c r="C18" s="152" t="str">
        <f t="shared" si="1"/>
        <v>0h10min</v>
      </c>
      <c r="D18" s="165" t="s">
        <v>56</v>
      </c>
      <c r="E18" s="237"/>
      <c r="F18" s="238"/>
      <c r="G18" s="51"/>
    </row>
    <row r="19" spans="1:7" s="52" customFormat="1" x14ac:dyDescent="0.3">
      <c r="A19" s="53" t="s">
        <v>52</v>
      </c>
      <c r="B19" s="54">
        <v>1</v>
      </c>
      <c r="C19" s="152" t="str">
        <f t="shared" si="1"/>
        <v>0h5min</v>
      </c>
      <c r="D19" s="165" t="s">
        <v>64</v>
      </c>
      <c r="E19" s="237"/>
      <c r="F19" s="238"/>
      <c r="G19" s="51"/>
    </row>
    <row r="20" spans="1:7" s="52" customFormat="1" x14ac:dyDescent="0.3">
      <c r="A20" s="54" t="s">
        <v>65</v>
      </c>
      <c r="B20" s="54">
        <v>3</v>
      </c>
      <c r="C20" s="153" t="str">
        <f t="shared" si="1"/>
        <v>0h15min</v>
      </c>
      <c r="D20" s="165" t="s">
        <v>68</v>
      </c>
      <c r="E20" s="237"/>
      <c r="F20" s="238"/>
      <c r="G20" s="51"/>
    </row>
    <row r="21" spans="1:7" s="52" customFormat="1" x14ac:dyDescent="0.3">
      <c r="A21" s="54"/>
      <c r="B21" s="54"/>
      <c r="C21" s="153" t="str">
        <f t="shared" si="1"/>
        <v/>
      </c>
      <c r="D21" s="55"/>
      <c r="E21" s="237"/>
      <c r="F21" s="238"/>
      <c r="G21" s="51"/>
    </row>
    <row r="22" spans="1:7" s="52" customFormat="1" x14ac:dyDescent="0.3">
      <c r="A22" s="54"/>
      <c r="B22" s="54"/>
      <c r="C22" s="153" t="str">
        <f t="shared" si="1"/>
        <v/>
      </c>
      <c r="D22" s="55"/>
      <c r="E22" s="237"/>
      <c r="F22" s="238"/>
      <c r="G22" s="51"/>
    </row>
    <row r="23" spans="1:7" s="52" customFormat="1" ht="15" thickBot="1" x14ac:dyDescent="0.35">
      <c r="A23" s="56"/>
      <c r="B23" s="56"/>
      <c r="C23" s="154" t="str">
        <f t="shared" si="1"/>
        <v/>
      </c>
      <c r="D23" s="57"/>
      <c r="E23" s="239"/>
      <c r="F23" s="240"/>
      <c r="G23" s="51"/>
    </row>
    <row r="24" spans="1:7" s="52" customFormat="1" ht="15" thickBot="1" x14ac:dyDescent="0.35">
      <c r="A24" s="110" t="s">
        <v>29</v>
      </c>
      <c r="B24" s="84">
        <f>SUM(B16:B23)</f>
        <v>18</v>
      </c>
      <c r="C24" s="110" t="str">
        <f xml:space="preserve"> setValueToTime(B24)</f>
        <v>1h30min</v>
      </c>
      <c r="D24" s="119"/>
      <c r="E24" s="241"/>
      <c r="F24" s="242"/>
      <c r="G24" s="51"/>
    </row>
    <row r="25" spans="1:7" s="59" customFormat="1" ht="15" thickBot="1" x14ac:dyDescent="0.35">
      <c r="A25" s="79"/>
      <c r="B25" s="79"/>
      <c r="C25" s="79"/>
      <c r="D25" s="79"/>
      <c r="E25" s="79"/>
      <c r="F25" s="79"/>
      <c r="G25" s="58"/>
    </row>
    <row r="26" spans="1:7" s="47" customFormat="1" ht="30" customHeight="1" thickBot="1" x14ac:dyDescent="0.3">
      <c r="A26" s="81" t="s">
        <v>12</v>
      </c>
      <c r="B26" s="162">
        <v>6</v>
      </c>
      <c r="C26" s="162"/>
      <c r="D26" s="82" t="s">
        <v>15</v>
      </c>
      <c r="E26" s="94">
        <v>45352</v>
      </c>
      <c r="F26" s="125" t="s">
        <v>47</v>
      </c>
      <c r="G26" s="46"/>
    </row>
    <row r="27" spans="1:7" s="47" customFormat="1" ht="30" customHeight="1" thickBot="1" x14ac:dyDescent="0.3">
      <c r="A27" s="80" t="s">
        <v>5</v>
      </c>
      <c r="B27" s="149" t="s">
        <v>41</v>
      </c>
      <c r="C27" s="150"/>
      <c r="D27" s="80" t="s">
        <v>13</v>
      </c>
      <c r="E27" s="243" t="s">
        <v>14</v>
      </c>
      <c r="F27" s="244"/>
      <c r="G27" s="46"/>
    </row>
    <row r="28" spans="1:7" s="52" customFormat="1" x14ac:dyDescent="0.3">
      <c r="A28" s="48" t="s">
        <v>16</v>
      </c>
      <c r="B28" s="49">
        <v>7</v>
      </c>
      <c r="C28" s="151" t="str">
        <f xml:space="preserve"> IF(B28="","",setValueToTime(B28))</f>
        <v>0h35min</v>
      </c>
      <c r="D28" s="164" t="s">
        <v>66</v>
      </c>
      <c r="E28" s="245"/>
      <c r="F28" s="246"/>
      <c r="G28" s="51"/>
    </row>
    <row r="29" spans="1:7" s="52" customFormat="1" x14ac:dyDescent="0.3">
      <c r="A29" s="53" t="s">
        <v>53</v>
      </c>
      <c r="B29" s="54">
        <v>8</v>
      </c>
      <c r="C29" s="152" t="str">
        <f t="shared" ref="C29:C35" si="2" xml:space="preserve"> IF(B29="","",setValueToTime(B29))</f>
        <v>0h40min</v>
      </c>
      <c r="D29" s="165" t="s">
        <v>67</v>
      </c>
      <c r="E29" s="237"/>
      <c r="F29" s="238"/>
      <c r="G29" s="51"/>
    </row>
    <row r="30" spans="1:7" s="52" customFormat="1" x14ac:dyDescent="0.3">
      <c r="A30" s="53" t="s">
        <v>17</v>
      </c>
      <c r="B30" s="54">
        <v>2</v>
      </c>
      <c r="C30" s="152" t="str">
        <f t="shared" si="2"/>
        <v>0h10min</v>
      </c>
      <c r="D30" s="165" t="s">
        <v>56</v>
      </c>
      <c r="E30" s="237"/>
      <c r="F30" s="238"/>
      <c r="G30" s="51"/>
    </row>
    <row r="31" spans="1:7" s="52" customFormat="1" x14ac:dyDescent="0.3">
      <c r="A31" s="53" t="s">
        <v>52</v>
      </c>
      <c r="B31" s="54">
        <v>1</v>
      </c>
      <c r="C31" s="152" t="str">
        <f t="shared" si="2"/>
        <v>0h5min</v>
      </c>
      <c r="D31" s="165" t="s">
        <v>64</v>
      </c>
      <c r="E31" s="237"/>
      <c r="F31" s="238"/>
      <c r="G31" s="51"/>
    </row>
    <row r="32" spans="1:7" s="52" customFormat="1" x14ac:dyDescent="0.3">
      <c r="A32" s="54"/>
      <c r="B32" s="54"/>
      <c r="C32" s="153" t="str">
        <f t="shared" si="2"/>
        <v/>
      </c>
      <c r="D32" s="55"/>
      <c r="E32" s="237"/>
      <c r="F32" s="238"/>
      <c r="G32" s="51"/>
    </row>
    <row r="33" spans="1:7" s="52" customFormat="1" x14ac:dyDescent="0.3">
      <c r="A33" s="54"/>
      <c r="B33" s="54"/>
      <c r="C33" s="153" t="str">
        <f t="shared" si="2"/>
        <v/>
      </c>
      <c r="D33" s="55"/>
      <c r="E33" s="237"/>
      <c r="F33" s="238"/>
      <c r="G33" s="51"/>
    </row>
    <row r="34" spans="1:7" s="52" customFormat="1" x14ac:dyDescent="0.3">
      <c r="A34" s="54"/>
      <c r="B34" s="54"/>
      <c r="C34" s="153" t="str">
        <f t="shared" si="2"/>
        <v/>
      </c>
      <c r="D34" s="55"/>
      <c r="E34" s="237"/>
      <c r="F34" s="238"/>
      <c r="G34" s="51"/>
    </row>
    <row r="35" spans="1:7" s="52" customFormat="1" ht="15" thickBot="1" x14ac:dyDescent="0.35">
      <c r="A35" s="56"/>
      <c r="B35" s="56"/>
      <c r="C35" s="154" t="str">
        <f t="shared" si="2"/>
        <v/>
      </c>
      <c r="D35" s="57"/>
      <c r="E35" s="239"/>
      <c r="F35" s="240"/>
      <c r="G35" s="51"/>
    </row>
    <row r="36" spans="1:7" s="52" customFormat="1" ht="15" thickBot="1" x14ac:dyDescent="0.35">
      <c r="A36" s="110" t="s">
        <v>29</v>
      </c>
      <c r="B36" s="84">
        <f>SUM(B28:B35)</f>
        <v>18</v>
      </c>
      <c r="C36" s="110" t="str">
        <f xml:space="preserve"> setValueToTime(B36)</f>
        <v>1h30min</v>
      </c>
      <c r="D36" s="119"/>
      <c r="E36" s="241"/>
      <c r="F36" s="242"/>
      <c r="G36" s="51"/>
    </row>
    <row r="37" spans="1:7" s="59" customFormat="1" ht="15" thickBot="1" x14ac:dyDescent="0.35">
      <c r="A37" s="79"/>
      <c r="B37" s="79"/>
      <c r="C37" s="79"/>
      <c r="D37" s="79"/>
      <c r="E37" s="79"/>
      <c r="F37" s="79"/>
      <c r="G37" s="58"/>
    </row>
    <row r="38" spans="1:7" s="47" customFormat="1" ht="30" customHeight="1" thickBot="1" x14ac:dyDescent="0.3">
      <c r="A38" s="81" t="s">
        <v>12</v>
      </c>
      <c r="B38" s="162">
        <v>5</v>
      </c>
      <c r="C38" s="162"/>
      <c r="D38" s="82" t="s">
        <v>15</v>
      </c>
      <c r="E38" s="94">
        <v>45345</v>
      </c>
      <c r="F38" s="125" t="s">
        <v>47</v>
      </c>
      <c r="G38" s="46"/>
    </row>
    <row r="39" spans="1:7" s="47" customFormat="1" ht="30" customHeight="1" thickBot="1" x14ac:dyDescent="0.3">
      <c r="A39" s="80" t="s">
        <v>5</v>
      </c>
      <c r="B39" s="149" t="s">
        <v>41</v>
      </c>
      <c r="C39" s="150"/>
      <c r="D39" s="80" t="s">
        <v>13</v>
      </c>
      <c r="E39" s="243" t="s">
        <v>14</v>
      </c>
      <c r="F39" s="244"/>
      <c r="G39" s="46"/>
    </row>
    <row r="40" spans="1:7" s="52" customFormat="1" x14ac:dyDescent="0.3">
      <c r="A40" s="48" t="s">
        <v>54</v>
      </c>
      <c r="B40" s="49">
        <v>5</v>
      </c>
      <c r="C40" s="151" t="str">
        <f xml:space="preserve"> IF(B40="","",setValueToTime(B40))</f>
        <v>0h25min</v>
      </c>
      <c r="D40" s="164" t="s">
        <v>61</v>
      </c>
      <c r="E40" s="245"/>
      <c r="F40" s="246"/>
      <c r="G40" s="51"/>
    </row>
    <row r="41" spans="1:7" s="52" customFormat="1" ht="27" x14ac:dyDescent="0.3">
      <c r="A41" s="53" t="s">
        <v>53</v>
      </c>
      <c r="B41" s="54">
        <v>10</v>
      </c>
      <c r="C41" s="152" t="str">
        <f t="shared" ref="C41:C47" si="3" xml:space="preserve"> IF(B41="","",setValueToTime(B41))</f>
        <v>0h50min</v>
      </c>
      <c r="D41" s="165" t="s">
        <v>62</v>
      </c>
      <c r="E41" s="237"/>
      <c r="F41" s="238"/>
      <c r="G41" s="51"/>
    </row>
    <row r="42" spans="1:7" s="52" customFormat="1" x14ac:dyDescent="0.3">
      <c r="A42" s="53" t="s">
        <v>17</v>
      </c>
      <c r="B42" s="54">
        <v>2</v>
      </c>
      <c r="C42" s="152" t="str">
        <f t="shared" si="3"/>
        <v>0h10min</v>
      </c>
      <c r="D42" s="165" t="s">
        <v>56</v>
      </c>
      <c r="E42" s="237"/>
      <c r="F42" s="238"/>
      <c r="G42" s="51"/>
    </row>
    <row r="43" spans="1:7" s="52" customFormat="1" x14ac:dyDescent="0.3">
      <c r="A43" s="53" t="s">
        <v>52</v>
      </c>
      <c r="B43" s="54">
        <v>1</v>
      </c>
      <c r="C43" s="152" t="str">
        <f t="shared" si="3"/>
        <v>0h5min</v>
      </c>
      <c r="D43" s="165" t="s">
        <v>63</v>
      </c>
      <c r="E43" s="237"/>
      <c r="F43" s="238"/>
      <c r="G43" s="51"/>
    </row>
    <row r="44" spans="1:7" s="52" customFormat="1" x14ac:dyDescent="0.3">
      <c r="A44" s="54"/>
      <c r="B44" s="54"/>
      <c r="C44" s="153" t="str">
        <f t="shared" si="3"/>
        <v/>
      </c>
      <c r="D44" s="55"/>
      <c r="E44" s="237"/>
      <c r="F44" s="238"/>
      <c r="G44" s="51"/>
    </row>
    <row r="45" spans="1:7" s="52" customFormat="1" x14ac:dyDescent="0.3">
      <c r="A45" s="54"/>
      <c r="B45" s="54"/>
      <c r="C45" s="153" t="str">
        <f t="shared" si="3"/>
        <v/>
      </c>
      <c r="D45" s="55"/>
      <c r="E45" s="237"/>
      <c r="F45" s="238"/>
      <c r="G45" s="51"/>
    </row>
    <row r="46" spans="1:7" s="52" customFormat="1" x14ac:dyDescent="0.3">
      <c r="A46" s="54"/>
      <c r="B46" s="54"/>
      <c r="C46" s="153" t="str">
        <f t="shared" si="3"/>
        <v/>
      </c>
      <c r="D46" s="55"/>
      <c r="E46" s="237"/>
      <c r="F46" s="238"/>
      <c r="G46" s="51"/>
    </row>
    <row r="47" spans="1:7" s="52" customFormat="1" ht="15" thickBot="1" x14ac:dyDescent="0.35">
      <c r="A47" s="56"/>
      <c r="B47" s="56"/>
      <c r="C47" s="154" t="str">
        <f t="shared" si="3"/>
        <v/>
      </c>
      <c r="D47" s="57"/>
      <c r="E47" s="239"/>
      <c r="F47" s="240"/>
      <c r="G47" s="51"/>
    </row>
    <row r="48" spans="1:7" s="52" customFormat="1" ht="15" thickBot="1" x14ac:dyDescent="0.35">
      <c r="A48" s="110" t="s">
        <v>29</v>
      </c>
      <c r="B48" s="84">
        <f>SUM(B40:B47)</f>
        <v>18</v>
      </c>
      <c r="C48" s="110" t="str">
        <f xml:space="preserve"> setValueToTime(B48)</f>
        <v>1h30min</v>
      </c>
      <c r="D48" s="119"/>
      <c r="E48" s="241"/>
      <c r="F48" s="242"/>
      <c r="G48" s="51"/>
    </row>
    <row r="49" spans="1:7" s="59" customFormat="1" ht="15" thickBot="1" x14ac:dyDescent="0.35">
      <c r="A49" s="79"/>
      <c r="B49" s="79"/>
      <c r="C49" s="79"/>
      <c r="D49" s="79"/>
      <c r="E49" s="79"/>
      <c r="F49" s="79"/>
      <c r="G49" s="58"/>
    </row>
    <row r="50" spans="1:7" s="47" customFormat="1" ht="30" customHeight="1" thickBot="1" x14ac:dyDescent="0.3">
      <c r="A50" s="81" t="s">
        <v>12</v>
      </c>
      <c r="B50" s="162">
        <v>4</v>
      </c>
      <c r="C50" s="162"/>
      <c r="D50" s="82" t="s">
        <v>15</v>
      </c>
      <c r="E50" s="94">
        <v>45331</v>
      </c>
      <c r="F50" s="125" t="s">
        <v>47</v>
      </c>
      <c r="G50" s="46"/>
    </row>
    <row r="51" spans="1:7" s="47" customFormat="1" ht="30" customHeight="1" thickBot="1" x14ac:dyDescent="0.3">
      <c r="A51" s="80" t="s">
        <v>5</v>
      </c>
      <c r="B51" s="149" t="s">
        <v>41</v>
      </c>
      <c r="C51" s="150"/>
      <c r="D51" s="80" t="s">
        <v>13</v>
      </c>
      <c r="E51" s="243" t="s">
        <v>14</v>
      </c>
      <c r="F51" s="244"/>
      <c r="G51" s="46"/>
    </row>
    <row r="52" spans="1:7" s="52" customFormat="1" x14ac:dyDescent="0.3">
      <c r="A52" s="48" t="s">
        <v>54</v>
      </c>
      <c r="B52" s="49">
        <v>9</v>
      </c>
      <c r="C52" s="151" t="str">
        <f xml:space="preserve"> IF(B52="","",setValueToTime(B52))</f>
        <v>0h45min</v>
      </c>
      <c r="D52" s="164" t="s">
        <v>59</v>
      </c>
      <c r="E52" s="245"/>
      <c r="F52" s="246"/>
      <c r="G52" s="51"/>
    </row>
    <row r="53" spans="1:7" s="52" customFormat="1" ht="27" x14ac:dyDescent="0.3">
      <c r="A53" s="53" t="s">
        <v>51</v>
      </c>
      <c r="B53" s="54">
        <v>6</v>
      </c>
      <c r="C53" s="152" t="str">
        <f t="shared" ref="C53:C59" si="4" xml:space="preserve"> IF(B53="","",setValueToTime(B53))</f>
        <v>0h30min</v>
      </c>
      <c r="D53" s="165" t="s">
        <v>60</v>
      </c>
      <c r="E53" s="247"/>
      <c r="F53" s="238"/>
      <c r="G53" s="51"/>
    </row>
    <row r="54" spans="1:7" s="52" customFormat="1" x14ac:dyDescent="0.3">
      <c r="A54" s="53" t="s">
        <v>17</v>
      </c>
      <c r="B54" s="54">
        <v>3</v>
      </c>
      <c r="C54" s="152" t="str">
        <f t="shared" si="4"/>
        <v>0h15min</v>
      </c>
      <c r="D54" s="165" t="s">
        <v>56</v>
      </c>
      <c r="E54" s="237"/>
      <c r="F54" s="238"/>
      <c r="G54" s="51"/>
    </row>
    <row r="55" spans="1:7" s="52" customFormat="1" x14ac:dyDescent="0.3">
      <c r="A55" s="53"/>
      <c r="B55" s="54"/>
      <c r="C55" s="152" t="str">
        <f t="shared" si="4"/>
        <v/>
      </c>
      <c r="D55" s="55"/>
      <c r="E55" s="237"/>
      <c r="F55" s="238"/>
      <c r="G55" s="51"/>
    </row>
    <row r="56" spans="1:7" s="52" customFormat="1" x14ac:dyDescent="0.3">
      <c r="A56" s="54"/>
      <c r="B56" s="54"/>
      <c r="C56" s="153" t="str">
        <f t="shared" si="4"/>
        <v/>
      </c>
      <c r="D56" s="55"/>
      <c r="E56" s="237"/>
      <c r="F56" s="238"/>
      <c r="G56" s="51"/>
    </row>
    <row r="57" spans="1:7" s="52" customFormat="1" x14ac:dyDescent="0.3">
      <c r="A57" s="54"/>
      <c r="B57" s="54"/>
      <c r="C57" s="153" t="str">
        <f t="shared" si="4"/>
        <v/>
      </c>
      <c r="D57" s="55"/>
      <c r="E57" s="237"/>
      <c r="F57" s="238"/>
      <c r="G57" s="51"/>
    </row>
    <row r="58" spans="1:7" s="52" customFormat="1" x14ac:dyDescent="0.3">
      <c r="A58" s="54"/>
      <c r="B58" s="54"/>
      <c r="C58" s="153" t="str">
        <f t="shared" si="4"/>
        <v/>
      </c>
      <c r="D58" s="55"/>
      <c r="E58" s="237"/>
      <c r="F58" s="238"/>
      <c r="G58" s="51"/>
    </row>
    <row r="59" spans="1:7" s="52" customFormat="1" ht="15" thickBot="1" x14ac:dyDescent="0.35">
      <c r="A59" s="56"/>
      <c r="B59" s="56"/>
      <c r="C59" s="154" t="str">
        <f t="shared" si="4"/>
        <v/>
      </c>
      <c r="D59" s="57"/>
      <c r="E59" s="239"/>
      <c r="F59" s="240"/>
      <c r="G59" s="51"/>
    </row>
    <row r="60" spans="1:7" s="52" customFormat="1" ht="15" thickBot="1" x14ac:dyDescent="0.35">
      <c r="A60" s="110" t="s">
        <v>29</v>
      </c>
      <c r="B60" s="84">
        <f>SUM(B52:B59)</f>
        <v>18</v>
      </c>
      <c r="C60" s="110" t="str">
        <f xml:space="preserve"> setValueToTime(B60)</f>
        <v>1h30min</v>
      </c>
      <c r="D60" s="119"/>
      <c r="E60" s="241"/>
      <c r="F60" s="242"/>
      <c r="G60" s="51"/>
    </row>
    <row r="61" spans="1:7" s="59" customFormat="1" ht="15" thickBot="1" x14ac:dyDescent="0.35">
      <c r="A61" s="79"/>
      <c r="B61" s="79"/>
      <c r="C61" s="79"/>
      <c r="D61" s="79"/>
      <c r="E61" s="79"/>
      <c r="F61" s="79"/>
      <c r="G61" s="58"/>
    </row>
    <row r="62" spans="1:7" s="47" customFormat="1" ht="30" customHeight="1" thickBot="1" x14ac:dyDescent="0.3">
      <c r="A62" s="81" t="s">
        <v>12</v>
      </c>
      <c r="B62" s="162">
        <v>3</v>
      </c>
      <c r="C62" s="162"/>
      <c r="D62" s="82" t="s">
        <v>15</v>
      </c>
      <c r="E62" s="94">
        <v>45324</v>
      </c>
      <c r="F62" s="125" t="s">
        <v>47</v>
      </c>
      <c r="G62" s="46"/>
    </row>
    <row r="63" spans="1:7" s="47" customFormat="1" ht="30" customHeight="1" thickBot="1" x14ac:dyDescent="0.3">
      <c r="A63" s="80" t="s">
        <v>5</v>
      </c>
      <c r="B63" s="149" t="s">
        <v>41</v>
      </c>
      <c r="C63" s="150"/>
      <c r="D63" s="80" t="s">
        <v>13</v>
      </c>
      <c r="E63" s="243" t="s">
        <v>14</v>
      </c>
      <c r="F63" s="244"/>
      <c r="G63" s="46"/>
    </row>
    <row r="64" spans="1:7" s="52" customFormat="1" ht="27" x14ac:dyDescent="0.3">
      <c r="A64" s="53" t="s">
        <v>51</v>
      </c>
      <c r="B64" s="54">
        <v>16</v>
      </c>
      <c r="C64" s="152" t="str">
        <f t="shared" ref="C64:C70" si="5" xml:space="preserve"> IF(B64="","",setValueToTime(B64))</f>
        <v>1h20min</v>
      </c>
      <c r="D64" s="165" t="s">
        <v>60</v>
      </c>
      <c r="E64" s="247"/>
      <c r="F64" s="238"/>
      <c r="G64" s="51"/>
    </row>
    <row r="65" spans="1:7" s="52" customFormat="1" x14ac:dyDescent="0.3">
      <c r="A65" s="53" t="s">
        <v>17</v>
      </c>
      <c r="B65" s="54">
        <v>2</v>
      </c>
      <c r="C65" s="152" t="str">
        <f t="shared" si="5"/>
        <v>0h10min</v>
      </c>
      <c r="D65" s="165" t="s">
        <v>56</v>
      </c>
      <c r="E65" s="237"/>
      <c r="F65" s="238"/>
      <c r="G65" s="51"/>
    </row>
    <row r="66" spans="1:7" s="52" customFormat="1" x14ac:dyDescent="0.3">
      <c r="A66" s="53"/>
      <c r="B66" s="54"/>
      <c r="C66" s="152" t="str">
        <f t="shared" si="5"/>
        <v/>
      </c>
      <c r="D66" s="55"/>
      <c r="E66" s="237"/>
      <c r="F66" s="238"/>
      <c r="G66" s="51"/>
    </row>
    <row r="67" spans="1:7" s="52" customFormat="1" x14ac:dyDescent="0.3">
      <c r="A67" s="54"/>
      <c r="B67" s="54"/>
      <c r="C67" s="153" t="str">
        <f t="shared" si="5"/>
        <v/>
      </c>
      <c r="D67" s="55"/>
      <c r="E67" s="237"/>
      <c r="F67" s="238"/>
      <c r="G67" s="51"/>
    </row>
    <row r="68" spans="1:7" s="52" customFormat="1" x14ac:dyDescent="0.3">
      <c r="A68" s="54"/>
      <c r="B68" s="54"/>
      <c r="C68" s="153" t="str">
        <f t="shared" si="5"/>
        <v/>
      </c>
      <c r="D68" s="55"/>
      <c r="E68" s="237"/>
      <c r="F68" s="238"/>
      <c r="G68" s="51"/>
    </row>
    <row r="69" spans="1:7" s="52" customFormat="1" x14ac:dyDescent="0.3">
      <c r="A69" s="54"/>
      <c r="B69" s="54"/>
      <c r="C69" s="153" t="str">
        <f t="shared" si="5"/>
        <v/>
      </c>
      <c r="D69" s="55"/>
      <c r="E69" s="237"/>
      <c r="F69" s="238"/>
      <c r="G69" s="51"/>
    </row>
    <row r="70" spans="1:7" s="52" customFormat="1" ht="15" thickBot="1" x14ac:dyDescent="0.35">
      <c r="A70" s="56"/>
      <c r="B70" s="56"/>
      <c r="C70" s="154" t="str">
        <f t="shared" si="5"/>
        <v/>
      </c>
      <c r="D70" s="57"/>
      <c r="E70" s="239"/>
      <c r="F70" s="240"/>
      <c r="G70" s="51"/>
    </row>
    <row r="71" spans="1:7" s="52" customFormat="1" ht="15" thickBot="1" x14ac:dyDescent="0.35">
      <c r="A71" s="110" t="s">
        <v>29</v>
      </c>
      <c r="B71" s="84">
        <f>SUM(B64:B70)</f>
        <v>18</v>
      </c>
      <c r="C71" s="110" t="str">
        <f xml:space="preserve"> setValueToTime(B71)</f>
        <v>1h30min</v>
      </c>
      <c r="D71" s="119"/>
      <c r="E71" s="241"/>
      <c r="F71" s="242"/>
      <c r="G71" s="51"/>
    </row>
    <row r="72" spans="1:7" s="59" customFormat="1" ht="15" thickBot="1" x14ac:dyDescent="0.35">
      <c r="A72" s="79"/>
      <c r="B72" s="79"/>
      <c r="C72" s="79"/>
      <c r="D72" s="79"/>
      <c r="E72" s="79"/>
      <c r="F72" s="79"/>
      <c r="G72" s="58"/>
    </row>
    <row r="73" spans="1:7" s="47" customFormat="1" ht="30" customHeight="1" thickBot="1" x14ac:dyDescent="0.3">
      <c r="A73" s="81" t="s">
        <v>12</v>
      </c>
      <c r="B73" s="162">
        <v>2</v>
      </c>
      <c r="C73" s="162"/>
      <c r="D73" s="82" t="s">
        <v>15</v>
      </c>
      <c r="E73" s="94">
        <v>45317</v>
      </c>
      <c r="F73" s="125" t="s">
        <v>47</v>
      </c>
      <c r="G73" s="46"/>
    </row>
    <row r="74" spans="1:7" s="47" customFormat="1" ht="30" customHeight="1" thickBot="1" x14ac:dyDescent="0.3">
      <c r="A74" s="80" t="s">
        <v>5</v>
      </c>
      <c r="B74" s="149" t="s">
        <v>41</v>
      </c>
      <c r="C74" s="150"/>
      <c r="D74" s="80" t="s">
        <v>13</v>
      </c>
      <c r="E74" s="243" t="s">
        <v>14</v>
      </c>
      <c r="F74" s="244"/>
      <c r="G74" s="46"/>
    </row>
    <row r="75" spans="1:7" s="52" customFormat="1" x14ac:dyDescent="0.3">
      <c r="A75" s="48" t="s">
        <v>32</v>
      </c>
      <c r="B75" s="49">
        <v>6</v>
      </c>
      <c r="C75" s="151" t="str">
        <f xml:space="preserve"> IF(B75="","",setValueToTime(B75))</f>
        <v>0h30min</v>
      </c>
      <c r="D75" s="164" t="s">
        <v>55</v>
      </c>
      <c r="E75" s="245"/>
      <c r="F75" s="246"/>
      <c r="G75" s="51"/>
    </row>
    <row r="76" spans="1:7" s="52" customFormat="1" x14ac:dyDescent="0.3">
      <c r="A76" s="53" t="s">
        <v>17</v>
      </c>
      <c r="B76" s="54">
        <v>3</v>
      </c>
      <c r="C76" s="152" t="str">
        <f t="shared" ref="C76:C82" si="6" xml:space="preserve"> IF(B76="","",setValueToTime(B76))</f>
        <v>0h15min</v>
      </c>
      <c r="D76" s="165" t="s">
        <v>56</v>
      </c>
      <c r="E76" s="237"/>
      <c r="F76" s="238"/>
      <c r="G76" s="51"/>
    </row>
    <row r="77" spans="1:7" s="52" customFormat="1" x14ac:dyDescent="0.3">
      <c r="A77" s="53" t="s">
        <v>50</v>
      </c>
      <c r="B77" s="54">
        <v>9</v>
      </c>
      <c r="C77" s="152" t="str">
        <f t="shared" si="6"/>
        <v>0h45min</v>
      </c>
      <c r="D77" s="165" t="s">
        <v>58</v>
      </c>
      <c r="E77" s="237"/>
      <c r="F77" s="238"/>
      <c r="G77" s="51"/>
    </row>
    <row r="78" spans="1:7" s="52" customFormat="1" x14ac:dyDescent="0.3">
      <c r="A78" s="53"/>
      <c r="B78" s="54"/>
      <c r="C78" s="152" t="str">
        <f t="shared" si="6"/>
        <v/>
      </c>
      <c r="D78" s="55"/>
      <c r="E78" s="237"/>
      <c r="F78" s="238"/>
      <c r="G78" s="51"/>
    </row>
    <row r="79" spans="1:7" s="52" customFormat="1" x14ac:dyDescent="0.3">
      <c r="A79" s="54"/>
      <c r="B79" s="54"/>
      <c r="C79" s="153" t="str">
        <f t="shared" si="6"/>
        <v/>
      </c>
      <c r="D79" s="55"/>
      <c r="E79" s="237"/>
      <c r="F79" s="238"/>
      <c r="G79" s="51"/>
    </row>
    <row r="80" spans="1:7" s="52" customFormat="1" x14ac:dyDescent="0.3">
      <c r="A80" s="54"/>
      <c r="B80" s="54"/>
      <c r="C80" s="153" t="str">
        <f t="shared" si="6"/>
        <v/>
      </c>
      <c r="D80" s="55"/>
      <c r="E80" s="237"/>
      <c r="F80" s="238"/>
      <c r="G80" s="51"/>
    </row>
    <row r="81" spans="1:7" s="52" customFormat="1" x14ac:dyDescent="0.3">
      <c r="A81" s="54"/>
      <c r="B81" s="54"/>
      <c r="C81" s="153" t="str">
        <f t="shared" si="6"/>
        <v/>
      </c>
      <c r="D81" s="55"/>
      <c r="E81" s="237"/>
      <c r="F81" s="238"/>
      <c r="G81" s="51"/>
    </row>
    <row r="82" spans="1:7" s="52" customFormat="1" ht="15" thickBot="1" x14ac:dyDescent="0.35">
      <c r="A82" s="56"/>
      <c r="B82" s="56"/>
      <c r="C82" s="154" t="str">
        <f t="shared" si="6"/>
        <v/>
      </c>
      <c r="D82" s="57"/>
      <c r="E82" s="239"/>
      <c r="F82" s="240"/>
      <c r="G82" s="51"/>
    </row>
    <row r="83" spans="1:7" s="52" customFormat="1" ht="15" thickBot="1" x14ac:dyDescent="0.35">
      <c r="A83" s="110" t="s">
        <v>29</v>
      </c>
      <c r="B83" s="84">
        <f>SUM(B75:B82)</f>
        <v>18</v>
      </c>
      <c r="C83" s="110" t="str">
        <f xml:space="preserve"> setValueToTime(B83)</f>
        <v>1h30min</v>
      </c>
      <c r="D83" s="119"/>
      <c r="E83" s="241"/>
      <c r="F83" s="242"/>
      <c r="G83" s="51"/>
    </row>
    <row r="84" spans="1:7" s="59" customFormat="1" ht="15" thickBot="1" x14ac:dyDescent="0.35">
      <c r="A84" s="79"/>
      <c r="B84" s="79"/>
      <c r="C84" s="79"/>
      <c r="D84" s="79"/>
      <c r="E84" s="79"/>
      <c r="F84" s="79"/>
      <c r="G84" s="58"/>
    </row>
    <row r="85" spans="1:7" s="47" customFormat="1" ht="30" customHeight="1" thickBot="1" x14ac:dyDescent="0.3">
      <c r="A85" s="81" t="s">
        <v>12</v>
      </c>
      <c r="B85" s="162">
        <v>1</v>
      </c>
      <c r="C85" s="162"/>
      <c r="D85" s="82" t="s">
        <v>15</v>
      </c>
      <c r="E85" s="94">
        <v>45310</v>
      </c>
      <c r="F85" s="125" t="s">
        <v>47</v>
      </c>
      <c r="G85" s="46"/>
    </row>
    <row r="86" spans="1:7" s="47" customFormat="1" ht="30" customHeight="1" thickBot="1" x14ac:dyDescent="0.3">
      <c r="A86" s="80" t="s">
        <v>5</v>
      </c>
      <c r="B86" s="149" t="s">
        <v>41</v>
      </c>
      <c r="C86" s="150"/>
      <c r="D86" s="80" t="s">
        <v>13</v>
      </c>
      <c r="E86" s="243" t="s">
        <v>14</v>
      </c>
      <c r="F86" s="244"/>
      <c r="G86" s="46"/>
    </row>
    <row r="87" spans="1:7" s="52" customFormat="1" x14ac:dyDescent="0.3">
      <c r="A87" s="48" t="s">
        <v>32</v>
      </c>
      <c r="B87" s="49">
        <v>8</v>
      </c>
      <c r="C87" s="151" t="str">
        <f xml:space="preserve"> IF(B87="","",setValueToTime(B87))</f>
        <v>0h40min</v>
      </c>
      <c r="D87" s="164" t="s">
        <v>55</v>
      </c>
      <c r="E87" s="245"/>
      <c r="F87" s="246"/>
      <c r="G87" s="51"/>
    </row>
    <row r="88" spans="1:7" s="52" customFormat="1" x14ac:dyDescent="0.3">
      <c r="A88" s="53" t="s">
        <v>17</v>
      </c>
      <c r="B88" s="54">
        <v>2</v>
      </c>
      <c r="C88" s="152" t="str">
        <f t="shared" ref="C88:C94" si="7" xml:space="preserve"> IF(B88="","",setValueToTime(B88))</f>
        <v>0h10min</v>
      </c>
      <c r="D88" s="165" t="s">
        <v>56</v>
      </c>
      <c r="E88" s="237"/>
      <c r="F88" s="238"/>
      <c r="G88" s="51"/>
    </row>
    <row r="89" spans="1:7" s="52" customFormat="1" x14ac:dyDescent="0.3">
      <c r="A89" s="53" t="s">
        <v>50</v>
      </c>
      <c r="B89" s="54">
        <v>8</v>
      </c>
      <c r="C89" s="152" t="str">
        <f t="shared" si="7"/>
        <v>0h40min</v>
      </c>
      <c r="D89" s="165" t="s">
        <v>57</v>
      </c>
      <c r="E89" s="237"/>
      <c r="F89" s="238"/>
      <c r="G89" s="51"/>
    </row>
    <row r="90" spans="1:7" s="52" customFormat="1" x14ac:dyDescent="0.3">
      <c r="A90" s="53"/>
      <c r="B90" s="54"/>
      <c r="C90" s="152" t="str">
        <f t="shared" si="7"/>
        <v/>
      </c>
      <c r="D90" s="55"/>
      <c r="E90" s="237"/>
      <c r="F90" s="238"/>
      <c r="G90" s="51"/>
    </row>
    <row r="91" spans="1:7" s="52" customFormat="1" x14ac:dyDescent="0.3">
      <c r="A91" s="54"/>
      <c r="B91" s="54"/>
      <c r="C91" s="153" t="str">
        <f t="shared" si="7"/>
        <v/>
      </c>
      <c r="D91" s="55"/>
      <c r="E91" s="237"/>
      <c r="F91" s="238"/>
      <c r="G91" s="51"/>
    </row>
    <row r="92" spans="1:7" s="52" customFormat="1" x14ac:dyDescent="0.3">
      <c r="A92" s="54"/>
      <c r="B92" s="54"/>
      <c r="C92" s="153" t="str">
        <f t="shared" si="7"/>
        <v/>
      </c>
      <c r="D92" s="55"/>
      <c r="E92" s="237"/>
      <c r="F92" s="238"/>
      <c r="G92" s="51"/>
    </row>
    <row r="93" spans="1:7" s="52" customFormat="1" x14ac:dyDescent="0.3">
      <c r="A93" s="54"/>
      <c r="B93" s="54"/>
      <c r="C93" s="153" t="str">
        <f t="shared" si="7"/>
        <v/>
      </c>
      <c r="D93" s="55"/>
      <c r="E93" s="237"/>
      <c r="F93" s="238"/>
      <c r="G93" s="51"/>
    </row>
    <row r="94" spans="1:7" s="52" customFormat="1" ht="15" thickBot="1" x14ac:dyDescent="0.35">
      <c r="A94" s="56"/>
      <c r="B94" s="56"/>
      <c r="C94" s="154" t="str">
        <f t="shared" si="7"/>
        <v/>
      </c>
      <c r="D94" s="57"/>
      <c r="E94" s="239"/>
      <c r="F94" s="240"/>
      <c r="G94" s="51"/>
    </row>
    <row r="95" spans="1:7" s="52" customFormat="1" ht="15" thickBot="1" x14ac:dyDescent="0.35">
      <c r="A95" s="110" t="s">
        <v>29</v>
      </c>
      <c r="B95" s="84">
        <f>SUM(B87:B94)</f>
        <v>18</v>
      </c>
      <c r="C95" s="110" t="str">
        <f xml:space="preserve"> setValueToTime(B95)</f>
        <v>1h30min</v>
      </c>
      <c r="D95" s="119"/>
      <c r="E95" s="241"/>
      <c r="F95" s="242"/>
      <c r="G95" s="51"/>
    </row>
    <row r="96" spans="1:7" s="59" customFormat="1" x14ac:dyDescent="0.3">
      <c r="A96" s="79"/>
      <c r="B96" s="79"/>
      <c r="C96" s="79"/>
      <c r="D96" s="79"/>
      <c r="E96" s="79"/>
      <c r="F96" s="79"/>
      <c r="G96" s="58"/>
    </row>
  </sheetData>
  <sheetProtection formatRows="0" insertRows="0" insertHyperlinks="0" deleteRows="0" selectLockedCells="1"/>
  <mergeCells count="79">
    <mergeCell ref="E15:F15"/>
    <mergeCell ref="E8:F8"/>
    <mergeCell ref="E9:F9"/>
    <mergeCell ref="E10:F10"/>
    <mergeCell ref="E11:F11"/>
    <mergeCell ref="E12:F12"/>
    <mergeCell ref="E3:F3"/>
    <mergeCell ref="E4:F4"/>
    <mergeCell ref="E5:F5"/>
    <mergeCell ref="E6:F6"/>
    <mergeCell ref="E7:F7"/>
    <mergeCell ref="E16:F16"/>
    <mergeCell ref="E17:F17"/>
    <mergeCell ref="E18:F18"/>
    <mergeCell ref="E19:F19"/>
    <mergeCell ref="E32:F32"/>
    <mergeCell ref="E20:F20"/>
    <mergeCell ref="E22:F22"/>
    <mergeCell ref="E23:F23"/>
    <mergeCell ref="E24:F24"/>
    <mergeCell ref="E21:F21"/>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80:F80"/>
    <mergeCell ref="E81:F81"/>
    <mergeCell ref="E82:F82"/>
    <mergeCell ref="E83:F83"/>
    <mergeCell ref="E63:F63"/>
    <mergeCell ref="E64:F64"/>
    <mergeCell ref="E65:F65"/>
    <mergeCell ref="E66:F66"/>
    <mergeCell ref="E67:F67"/>
    <mergeCell ref="E68:F68"/>
    <mergeCell ref="E69:F69"/>
    <mergeCell ref="E70:F70"/>
    <mergeCell ref="E71:F71"/>
    <mergeCell ref="E92:F92"/>
    <mergeCell ref="E93:F93"/>
    <mergeCell ref="E94:F94"/>
    <mergeCell ref="E95:F95"/>
    <mergeCell ref="E74:F74"/>
    <mergeCell ref="E75:F75"/>
    <mergeCell ref="E76:F76"/>
    <mergeCell ref="E77:F77"/>
    <mergeCell ref="E78:F78"/>
    <mergeCell ref="E79:F79"/>
    <mergeCell ref="E86:F86"/>
    <mergeCell ref="E87:F87"/>
    <mergeCell ref="E88:F88"/>
    <mergeCell ref="E89:F89"/>
    <mergeCell ref="E90:F90"/>
    <mergeCell ref="E91:F91"/>
  </mergeCells>
  <phoneticPr fontId="0" type="noConversion"/>
  <conditionalFormatting sqref="B95">
    <cfRule type="cellIs" dxfId="16" priority="8" operator="greaterThan">
      <formula>60</formula>
    </cfRule>
  </conditionalFormatting>
  <conditionalFormatting sqref="B83">
    <cfRule type="cellIs" dxfId="15" priority="7" operator="greaterThan">
      <formula>60</formula>
    </cfRule>
  </conditionalFormatting>
  <conditionalFormatting sqref="B71">
    <cfRule type="cellIs" dxfId="14" priority="6" operator="greaterThan">
      <formula>60</formula>
    </cfRule>
  </conditionalFormatting>
  <conditionalFormatting sqref="B60">
    <cfRule type="cellIs" dxfId="13" priority="5" operator="greaterThan">
      <formula>60</formula>
    </cfRule>
  </conditionalFormatting>
  <conditionalFormatting sqref="B48">
    <cfRule type="cellIs" dxfId="12" priority="4" operator="greaterThan">
      <formula>60</formula>
    </cfRule>
  </conditionalFormatting>
  <conditionalFormatting sqref="B36">
    <cfRule type="cellIs" dxfId="11" priority="3" operator="greaterThan">
      <formula>60</formula>
    </cfRule>
  </conditionalFormatting>
  <conditionalFormatting sqref="B24">
    <cfRule type="cellIs" dxfId="10" priority="2" operator="greaterThan">
      <formula>60</formula>
    </cfRule>
  </conditionalFormatting>
  <conditionalFormatting sqref="B12">
    <cfRule type="cellIs" dxfId="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5 B83 B71 B60 B48 B36 B24 B12">
      <formula1>0</formula1>
      <formula2>60</formula2>
    </dataValidation>
    <dataValidation type="whole" operator="greaterThan" allowBlank="1" showInputMessage="1" showErrorMessage="1" errorTitle="Durée par tranche de 10min" error="Le nombre doit être de type entier" sqref="B87:B94 B75:B82 B52:B59 B40:B47 B28:B35 B16:B23 B4:B11 B64:B70">
      <formula1>0</formula1>
    </dataValidation>
    <dataValidation type="list" allowBlank="1" showInputMessage="1" showErrorMessage="1" sqref="A87:A94 A75:A82 A52:A59 A40:A47 A28:A35 A16:A23 A4:A11 A64:A7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85"/>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190" customWidth="1"/>
    <col min="2" max="2" width="8.42578125" style="190" customWidth="1"/>
    <col min="3" max="3" width="8.7109375" style="190" customWidth="1"/>
    <col min="4" max="4" width="91" style="190" customWidth="1"/>
    <col min="5" max="5" width="36.28515625" style="197" customWidth="1"/>
    <col min="6" max="6" width="20.7109375" style="61" customWidth="1"/>
    <col min="7" max="16384" width="11.42578125" style="61"/>
  </cols>
  <sheetData>
    <row r="1" spans="1:7" ht="49.9" customHeight="1" thickBot="1" x14ac:dyDescent="0.35"/>
    <row r="2" spans="1:7" s="47" customFormat="1" ht="30" customHeight="1" thickBot="1" x14ac:dyDescent="0.3">
      <c r="A2" s="155" t="s">
        <v>12</v>
      </c>
      <c r="B2" s="163">
        <v>7</v>
      </c>
      <c r="C2" s="163"/>
      <c r="D2" s="156" t="s">
        <v>15</v>
      </c>
      <c r="E2" s="157" t="s">
        <v>73</v>
      </c>
      <c r="F2" s="158" t="s">
        <v>47</v>
      </c>
      <c r="G2" s="46"/>
    </row>
    <row r="3" spans="1:7" s="47" customFormat="1" ht="30" customHeight="1" thickBot="1" x14ac:dyDescent="0.3">
      <c r="A3" s="78" t="s">
        <v>5</v>
      </c>
      <c r="B3" s="160" t="s">
        <v>41</v>
      </c>
      <c r="C3" s="159"/>
      <c r="D3" s="78" t="s">
        <v>13</v>
      </c>
      <c r="E3" s="250" t="s">
        <v>14</v>
      </c>
      <c r="F3" s="251"/>
      <c r="G3" s="46"/>
    </row>
    <row r="4" spans="1:7" s="52" customFormat="1" ht="202.5" x14ac:dyDescent="0.3">
      <c r="A4" s="48" t="s">
        <v>53</v>
      </c>
      <c r="B4" s="49">
        <v>14</v>
      </c>
      <c r="C4" s="151" t="str">
        <f xml:space="preserve"> IF(B4="","",setValueToTime(B4))</f>
        <v>1h10min</v>
      </c>
      <c r="D4" s="164" t="s">
        <v>107</v>
      </c>
      <c r="E4" s="253" t="s">
        <v>106</v>
      </c>
      <c r="F4" s="246"/>
      <c r="G4" s="51"/>
    </row>
    <row r="5" spans="1:7" s="52" customFormat="1" ht="27" x14ac:dyDescent="0.3">
      <c r="A5" s="53" t="s">
        <v>17</v>
      </c>
      <c r="B5" s="54">
        <v>2</v>
      </c>
      <c r="C5" s="152" t="str">
        <f t="shared" ref="C5:C11" si="0" xml:space="preserve"> IF(B5="","",setValueToTime(B5))</f>
        <v>0h10min</v>
      </c>
      <c r="D5" s="55"/>
      <c r="E5" s="237"/>
      <c r="F5" s="238"/>
      <c r="G5" s="51"/>
    </row>
    <row r="6" spans="1:7" s="52" customFormat="1" ht="27" x14ac:dyDescent="0.3">
      <c r="A6" s="53" t="s">
        <v>54</v>
      </c>
      <c r="B6" s="54">
        <v>2</v>
      </c>
      <c r="C6" s="152" t="str">
        <f t="shared" si="0"/>
        <v>0h10min</v>
      </c>
      <c r="D6" s="55"/>
      <c r="E6" s="255" t="s">
        <v>105</v>
      </c>
      <c r="F6" s="238"/>
      <c r="G6" s="51"/>
    </row>
    <row r="7" spans="1:7" s="52" customFormat="1" x14ac:dyDescent="0.3">
      <c r="A7" s="53"/>
      <c r="B7" s="54"/>
      <c r="C7" s="152" t="str">
        <f t="shared" si="0"/>
        <v/>
      </c>
      <c r="D7" s="55"/>
      <c r="E7" s="237"/>
      <c r="F7" s="238"/>
      <c r="G7" s="51"/>
    </row>
    <row r="8" spans="1:7" s="52" customFormat="1" x14ac:dyDescent="0.3">
      <c r="A8" s="54"/>
      <c r="B8" s="54"/>
      <c r="C8" s="153" t="str">
        <f t="shared" si="0"/>
        <v/>
      </c>
      <c r="D8" s="55"/>
      <c r="E8" s="237"/>
      <c r="F8" s="238"/>
      <c r="G8" s="51"/>
    </row>
    <row r="9" spans="1:7" s="52" customFormat="1" x14ac:dyDescent="0.3">
      <c r="A9" s="54"/>
      <c r="B9" s="54"/>
      <c r="C9" s="153" t="str">
        <f t="shared" si="0"/>
        <v/>
      </c>
      <c r="D9" s="55"/>
      <c r="E9" s="237"/>
      <c r="F9" s="238"/>
      <c r="G9" s="51"/>
    </row>
    <row r="10" spans="1:7" s="52" customFormat="1" x14ac:dyDescent="0.3">
      <c r="A10" s="54"/>
      <c r="B10" s="54"/>
      <c r="C10" s="153" t="str">
        <f t="shared" si="0"/>
        <v/>
      </c>
      <c r="D10" s="55"/>
      <c r="E10" s="237"/>
      <c r="F10" s="238"/>
      <c r="G10" s="51"/>
    </row>
    <row r="11" spans="1:7" s="52" customFormat="1" ht="15" thickBot="1" x14ac:dyDescent="0.35">
      <c r="A11" s="56"/>
      <c r="B11" s="56"/>
      <c r="C11" s="154" t="str">
        <f t="shared" si="0"/>
        <v/>
      </c>
      <c r="D11" s="57"/>
      <c r="E11" s="239"/>
      <c r="F11" s="240"/>
      <c r="G11" s="51"/>
    </row>
    <row r="12" spans="1:7" s="52" customFormat="1" ht="15" thickBot="1" x14ac:dyDescent="0.35">
      <c r="A12" s="161" t="s">
        <v>29</v>
      </c>
      <c r="B12" s="83">
        <f>SUM(B4:B11)</f>
        <v>18</v>
      </c>
      <c r="C12" s="161" t="str">
        <f xml:space="preserve"> setValueToTime(B12)</f>
        <v>1h30min</v>
      </c>
      <c r="D12" s="120"/>
      <c r="E12" s="248"/>
      <c r="F12" s="249"/>
      <c r="G12" s="51"/>
    </row>
    <row r="13" spans="1:7" s="59" customFormat="1" ht="15" thickBot="1" x14ac:dyDescent="0.35">
      <c r="A13" s="77"/>
      <c r="B13" s="77"/>
      <c r="C13" s="77"/>
      <c r="D13" s="77"/>
      <c r="E13" s="77"/>
      <c r="F13" s="77"/>
      <c r="G13" s="58"/>
    </row>
    <row r="14" spans="1:7" s="47" customFormat="1" ht="30" customHeight="1" thickBot="1" x14ac:dyDescent="0.3">
      <c r="A14" s="155" t="s">
        <v>12</v>
      </c>
      <c r="B14" s="163">
        <v>6</v>
      </c>
      <c r="C14" s="163"/>
      <c r="D14" s="156" t="s">
        <v>15</v>
      </c>
      <c r="E14" s="157" t="s">
        <v>75</v>
      </c>
      <c r="F14" s="158" t="s">
        <v>47</v>
      </c>
      <c r="G14" s="46"/>
    </row>
    <row r="15" spans="1:7" s="47" customFormat="1" ht="30" customHeight="1" thickBot="1" x14ac:dyDescent="0.3">
      <c r="A15" s="78" t="s">
        <v>5</v>
      </c>
      <c r="B15" s="160" t="s">
        <v>41</v>
      </c>
      <c r="C15" s="159"/>
      <c r="D15" s="78" t="s">
        <v>13</v>
      </c>
      <c r="E15" s="250" t="s">
        <v>14</v>
      </c>
      <c r="F15" s="251"/>
      <c r="G15" s="46"/>
    </row>
    <row r="16" spans="1:7" s="52" customFormat="1" ht="27" x14ac:dyDescent="0.3">
      <c r="A16" s="202" t="s">
        <v>17</v>
      </c>
      <c r="B16" s="54">
        <v>4</v>
      </c>
      <c r="C16" s="151" t="str">
        <f xml:space="preserve"> IF(B16="","",setValueToTime(B16))</f>
        <v>0h20min</v>
      </c>
      <c r="D16" s="192" t="s">
        <v>83</v>
      </c>
      <c r="E16" s="245"/>
      <c r="F16" s="246"/>
      <c r="G16" s="51"/>
    </row>
    <row r="17" spans="1:7" s="52" customFormat="1" x14ac:dyDescent="0.3">
      <c r="A17" s="53" t="s">
        <v>4</v>
      </c>
      <c r="B17" s="54">
        <v>7</v>
      </c>
      <c r="C17" s="152" t="str">
        <f t="shared" ref="C17:C23" si="1" xml:space="preserve"> IF(B17="","",setValueToTime(B17))</f>
        <v>0h35min</v>
      </c>
      <c r="D17" s="165" t="s">
        <v>102</v>
      </c>
      <c r="E17" s="237"/>
      <c r="F17" s="238"/>
      <c r="G17" s="51"/>
    </row>
    <row r="18" spans="1:7" s="52" customFormat="1" x14ac:dyDescent="0.3">
      <c r="A18" s="53" t="s">
        <v>53</v>
      </c>
      <c r="B18" s="54">
        <v>3</v>
      </c>
      <c r="C18" s="152" t="str">
        <f t="shared" si="1"/>
        <v>0h15min</v>
      </c>
      <c r="D18" s="165" t="s">
        <v>103</v>
      </c>
      <c r="E18" s="237"/>
      <c r="F18" s="238"/>
      <c r="G18" s="51"/>
    </row>
    <row r="19" spans="1:7" s="52" customFormat="1" ht="27" x14ac:dyDescent="0.3">
      <c r="A19" s="53" t="s">
        <v>54</v>
      </c>
      <c r="B19" s="54">
        <v>4</v>
      </c>
      <c r="C19" s="152" t="str">
        <f t="shared" si="1"/>
        <v>0h20min</v>
      </c>
      <c r="D19" s="165" t="s">
        <v>104</v>
      </c>
      <c r="E19" s="237"/>
      <c r="F19" s="238"/>
      <c r="G19" s="51"/>
    </row>
    <row r="20" spans="1:7" s="52" customFormat="1" x14ac:dyDescent="0.3">
      <c r="A20" s="54"/>
      <c r="B20" s="54"/>
      <c r="C20" s="153" t="str">
        <f t="shared" si="1"/>
        <v/>
      </c>
      <c r="D20" s="55"/>
      <c r="E20" s="237"/>
      <c r="F20" s="238"/>
      <c r="G20" s="51"/>
    </row>
    <row r="21" spans="1:7" s="52" customFormat="1" x14ac:dyDescent="0.3">
      <c r="A21" s="54"/>
      <c r="B21" s="54"/>
      <c r="C21" s="153" t="str">
        <f t="shared" si="1"/>
        <v/>
      </c>
      <c r="D21" s="55"/>
      <c r="E21" s="237"/>
      <c r="F21" s="238"/>
      <c r="G21" s="51"/>
    </row>
    <row r="22" spans="1:7" s="52" customFormat="1" x14ac:dyDescent="0.3">
      <c r="A22" s="54"/>
      <c r="B22" s="54"/>
      <c r="C22" s="153" t="str">
        <f t="shared" si="1"/>
        <v/>
      </c>
      <c r="D22" s="55"/>
      <c r="E22" s="237"/>
      <c r="F22" s="238"/>
      <c r="G22" s="51"/>
    </row>
    <row r="23" spans="1:7" s="52" customFormat="1" ht="15" thickBot="1" x14ac:dyDescent="0.35">
      <c r="A23" s="56"/>
      <c r="B23" s="56"/>
      <c r="C23" s="154" t="str">
        <f t="shared" si="1"/>
        <v/>
      </c>
      <c r="D23" s="57"/>
      <c r="E23" s="239"/>
      <c r="F23" s="240"/>
      <c r="G23" s="51"/>
    </row>
    <row r="24" spans="1:7" s="52" customFormat="1" ht="15" thickBot="1" x14ac:dyDescent="0.35">
      <c r="A24" s="161" t="s">
        <v>29</v>
      </c>
      <c r="B24" s="83">
        <f>SUM(B16:B23)</f>
        <v>18</v>
      </c>
      <c r="C24" s="161" t="str">
        <f xml:space="preserve"> setValueToTime(B24)</f>
        <v>1h30min</v>
      </c>
      <c r="D24" s="120"/>
      <c r="E24" s="248"/>
      <c r="F24" s="249"/>
      <c r="G24" s="51"/>
    </row>
    <row r="25" spans="1:7" s="59" customFormat="1" ht="15" thickBot="1" x14ac:dyDescent="0.35">
      <c r="A25" s="77"/>
      <c r="B25" s="77"/>
      <c r="C25" s="77"/>
      <c r="D25" s="77"/>
      <c r="E25" s="77"/>
      <c r="F25" s="77"/>
      <c r="G25" s="58"/>
    </row>
    <row r="26" spans="1:7" s="47" customFormat="1" ht="30" customHeight="1" thickBot="1" x14ac:dyDescent="0.3">
      <c r="A26" s="155" t="s">
        <v>12</v>
      </c>
      <c r="B26" s="163">
        <v>5</v>
      </c>
      <c r="C26" s="163"/>
      <c r="D26" s="156" t="s">
        <v>15</v>
      </c>
      <c r="E26" s="157" t="s">
        <v>77</v>
      </c>
      <c r="F26" s="158" t="s">
        <v>47</v>
      </c>
      <c r="G26" s="46"/>
    </row>
    <row r="27" spans="1:7" s="47" customFormat="1" ht="30" customHeight="1" thickBot="1" x14ac:dyDescent="0.3">
      <c r="A27" s="78" t="s">
        <v>5</v>
      </c>
      <c r="B27" s="160" t="s">
        <v>41</v>
      </c>
      <c r="C27" s="159"/>
      <c r="D27" s="78" t="s">
        <v>13</v>
      </c>
      <c r="E27" s="250" t="s">
        <v>14</v>
      </c>
      <c r="F27" s="251"/>
      <c r="G27" s="46"/>
    </row>
    <row r="28" spans="1:7" s="52" customFormat="1" ht="27" x14ac:dyDescent="0.3">
      <c r="A28" s="202" t="s">
        <v>17</v>
      </c>
      <c r="B28" s="54">
        <v>4</v>
      </c>
      <c r="C28" s="151" t="str">
        <f xml:space="preserve"> IF(B28="","",setValueToTime(B28))</f>
        <v>0h20min</v>
      </c>
      <c r="D28" s="192" t="s">
        <v>83</v>
      </c>
      <c r="E28" s="245"/>
      <c r="F28" s="246"/>
      <c r="G28" s="51"/>
    </row>
    <row r="29" spans="1:7" s="52" customFormat="1" ht="166.5" customHeight="1" x14ac:dyDescent="0.3">
      <c r="A29" s="53" t="s">
        <v>54</v>
      </c>
      <c r="B29" s="54">
        <v>6</v>
      </c>
      <c r="C29" s="152" t="str">
        <f t="shared" ref="C29:C35" si="2" xml:space="preserve"> IF(B29="","",setValueToTime(B29))</f>
        <v>0h30min</v>
      </c>
      <c r="D29" s="192" t="s">
        <v>100</v>
      </c>
      <c r="E29" s="247" t="s">
        <v>99</v>
      </c>
      <c r="F29" s="238"/>
      <c r="G29" s="51"/>
    </row>
    <row r="30" spans="1:7" s="52" customFormat="1" ht="27" x14ac:dyDescent="0.3">
      <c r="A30" s="53" t="s">
        <v>53</v>
      </c>
      <c r="B30" s="54">
        <v>8</v>
      </c>
      <c r="C30" s="152" t="str">
        <f t="shared" si="2"/>
        <v>0h40min</v>
      </c>
      <c r="D30" s="165" t="s">
        <v>101</v>
      </c>
      <c r="E30" s="252" t="s">
        <v>98</v>
      </c>
      <c r="F30" s="238"/>
      <c r="G30" s="51"/>
    </row>
    <row r="31" spans="1:7" s="52" customFormat="1" x14ac:dyDescent="0.3">
      <c r="A31" s="53"/>
      <c r="B31" s="54"/>
      <c r="C31" s="152" t="str">
        <f t="shared" si="2"/>
        <v/>
      </c>
      <c r="D31" s="55"/>
      <c r="E31" s="237"/>
      <c r="F31" s="238"/>
      <c r="G31" s="51"/>
    </row>
    <row r="32" spans="1:7" s="52" customFormat="1" x14ac:dyDescent="0.3">
      <c r="A32" s="54"/>
      <c r="B32" s="54"/>
      <c r="C32" s="153" t="str">
        <f t="shared" si="2"/>
        <v/>
      </c>
      <c r="D32" s="55"/>
      <c r="E32" s="237"/>
      <c r="F32" s="238"/>
      <c r="G32" s="51"/>
    </row>
    <row r="33" spans="1:7" s="52" customFormat="1" x14ac:dyDescent="0.3">
      <c r="A33" s="54"/>
      <c r="B33" s="54"/>
      <c r="C33" s="153" t="str">
        <f t="shared" si="2"/>
        <v/>
      </c>
      <c r="D33" s="55"/>
      <c r="E33" s="237"/>
      <c r="F33" s="238"/>
      <c r="G33" s="51"/>
    </row>
    <row r="34" spans="1:7" s="52" customFormat="1" x14ac:dyDescent="0.3">
      <c r="A34" s="54"/>
      <c r="B34" s="54"/>
      <c r="C34" s="153" t="str">
        <f t="shared" si="2"/>
        <v/>
      </c>
      <c r="D34" s="55"/>
      <c r="E34" s="237"/>
      <c r="F34" s="238"/>
      <c r="G34" s="51"/>
    </row>
    <row r="35" spans="1:7" s="52" customFormat="1" ht="15" thickBot="1" x14ac:dyDescent="0.35">
      <c r="A35" s="56"/>
      <c r="B35" s="56"/>
      <c r="C35" s="154" t="str">
        <f t="shared" si="2"/>
        <v/>
      </c>
      <c r="D35" s="57"/>
      <c r="E35" s="239"/>
      <c r="F35" s="240"/>
      <c r="G35" s="51"/>
    </row>
    <row r="36" spans="1:7" s="52" customFormat="1" ht="15" thickBot="1" x14ac:dyDescent="0.35">
      <c r="A36" s="161" t="s">
        <v>29</v>
      </c>
      <c r="B36" s="83">
        <f>SUM(B28:B35)</f>
        <v>18</v>
      </c>
      <c r="C36" s="161" t="str">
        <f xml:space="preserve"> setValueToTime(B36)</f>
        <v>1h30min</v>
      </c>
      <c r="D36" s="120"/>
      <c r="E36" s="248"/>
      <c r="F36" s="249"/>
      <c r="G36" s="51"/>
    </row>
    <row r="37" spans="1:7" s="59" customFormat="1" ht="15" thickBot="1" x14ac:dyDescent="0.35">
      <c r="A37" s="77"/>
      <c r="B37" s="77"/>
      <c r="C37" s="77"/>
      <c r="D37" s="77"/>
      <c r="E37" s="77"/>
      <c r="F37" s="77"/>
      <c r="G37" s="58"/>
    </row>
    <row r="38" spans="1:7" s="47" customFormat="1" ht="30" customHeight="1" thickBot="1" x14ac:dyDescent="0.3">
      <c r="A38" s="155" t="s">
        <v>12</v>
      </c>
      <c r="B38" s="163">
        <v>4</v>
      </c>
      <c r="C38" s="163"/>
      <c r="D38" s="156" t="s">
        <v>15</v>
      </c>
      <c r="E38" s="157" t="s">
        <v>79</v>
      </c>
      <c r="F38" s="158" t="s">
        <v>47</v>
      </c>
      <c r="G38" s="46"/>
    </row>
    <row r="39" spans="1:7" s="47" customFormat="1" ht="30" customHeight="1" thickBot="1" x14ac:dyDescent="0.3">
      <c r="A39" s="78" t="s">
        <v>5</v>
      </c>
      <c r="B39" s="160" t="s">
        <v>41</v>
      </c>
      <c r="C39" s="159"/>
      <c r="D39" s="78" t="s">
        <v>13</v>
      </c>
      <c r="E39" s="250" t="s">
        <v>14</v>
      </c>
      <c r="F39" s="251"/>
      <c r="G39" s="46"/>
    </row>
    <row r="40" spans="1:7" s="52" customFormat="1" ht="54" customHeight="1" x14ac:dyDescent="0.3">
      <c r="A40" s="48" t="s">
        <v>54</v>
      </c>
      <c r="B40" s="49">
        <v>7</v>
      </c>
      <c r="C40" s="151" t="str">
        <f xml:space="preserve"> IF(B40="","",setValueToTime(B40))</f>
        <v>0h35min</v>
      </c>
      <c r="D40" s="191" t="s">
        <v>96</v>
      </c>
      <c r="E40" s="254" t="s">
        <v>94</v>
      </c>
      <c r="F40" s="246"/>
      <c r="G40" s="51"/>
    </row>
    <row r="41" spans="1:7" s="52" customFormat="1" ht="40.5" x14ac:dyDescent="0.3">
      <c r="A41" s="198" t="s">
        <v>51</v>
      </c>
      <c r="B41" s="199">
        <v>3</v>
      </c>
      <c r="C41" s="200" t="str">
        <f t="shared" ref="C41:C47" si="3" xml:space="preserve"> IF(B41="","",setValueToTime(B41))</f>
        <v>0h15min</v>
      </c>
      <c r="D41" s="201" t="s">
        <v>95</v>
      </c>
      <c r="E41" s="252" t="s">
        <v>98</v>
      </c>
      <c r="F41" s="238"/>
      <c r="G41" s="51"/>
    </row>
    <row r="42" spans="1:7" s="52" customFormat="1" ht="27" x14ac:dyDescent="0.3">
      <c r="A42" s="53" t="s">
        <v>17</v>
      </c>
      <c r="B42" s="54">
        <v>2</v>
      </c>
      <c r="C42" s="152" t="str">
        <f xml:space="preserve"> IF(B42="","",setValueToTime(B42))</f>
        <v>0h10min</v>
      </c>
      <c r="D42" s="192" t="s">
        <v>83</v>
      </c>
      <c r="E42" s="237"/>
      <c r="F42" s="238"/>
      <c r="G42" s="51"/>
    </row>
    <row r="43" spans="1:7" s="52" customFormat="1" ht="27" x14ac:dyDescent="0.3">
      <c r="A43" s="53" t="s">
        <v>53</v>
      </c>
      <c r="B43" s="54">
        <v>6</v>
      </c>
      <c r="C43" s="152" t="str">
        <f t="shared" si="3"/>
        <v>0h30min</v>
      </c>
      <c r="D43" s="192" t="s">
        <v>97</v>
      </c>
      <c r="E43" s="237"/>
      <c r="F43" s="238"/>
      <c r="G43" s="51"/>
    </row>
    <row r="44" spans="1:7" s="52" customFormat="1" x14ac:dyDescent="0.3">
      <c r="A44" s="54"/>
      <c r="B44" s="54"/>
      <c r="C44" s="153" t="str">
        <f t="shared" si="3"/>
        <v/>
      </c>
      <c r="D44" s="193"/>
      <c r="E44" s="237"/>
      <c r="F44" s="238"/>
      <c r="G44" s="51"/>
    </row>
    <row r="45" spans="1:7" s="52" customFormat="1" x14ac:dyDescent="0.3">
      <c r="A45" s="54"/>
      <c r="B45" s="54"/>
      <c r="C45" s="153" t="str">
        <f t="shared" si="3"/>
        <v/>
      </c>
      <c r="D45" s="193"/>
      <c r="E45" s="237"/>
      <c r="F45" s="238"/>
      <c r="G45" s="51"/>
    </row>
    <row r="46" spans="1:7" s="52" customFormat="1" x14ac:dyDescent="0.3">
      <c r="A46" s="54"/>
      <c r="B46" s="54"/>
      <c r="C46" s="153" t="str">
        <f t="shared" si="3"/>
        <v/>
      </c>
      <c r="D46" s="193"/>
      <c r="E46" s="237"/>
      <c r="F46" s="238"/>
      <c r="G46" s="51"/>
    </row>
    <row r="47" spans="1:7" s="52" customFormat="1" ht="15" thickBot="1" x14ac:dyDescent="0.35">
      <c r="A47" s="56"/>
      <c r="B47" s="56"/>
      <c r="C47" s="154" t="str">
        <f t="shared" si="3"/>
        <v/>
      </c>
      <c r="D47" s="194"/>
      <c r="E47" s="239"/>
      <c r="F47" s="240"/>
      <c r="G47" s="51"/>
    </row>
    <row r="48" spans="1:7" s="52" customFormat="1" ht="15" thickBot="1" x14ac:dyDescent="0.35">
      <c r="A48" s="161" t="s">
        <v>29</v>
      </c>
      <c r="B48" s="83">
        <f>SUM(B40:B47)</f>
        <v>18</v>
      </c>
      <c r="C48" s="161" t="str">
        <f xml:space="preserve"> setValueToTime(B48)</f>
        <v>1h30min</v>
      </c>
      <c r="D48" s="195"/>
      <c r="E48" s="248"/>
      <c r="F48" s="249"/>
      <c r="G48" s="51"/>
    </row>
    <row r="49" spans="1:7" s="59" customFormat="1" ht="15" thickBot="1" x14ac:dyDescent="0.35">
      <c r="A49" s="77"/>
      <c r="B49" s="77"/>
      <c r="C49" s="77"/>
      <c r="D49" s="196"/>
      <c r="E49" s="77"/>
      <c r="F49" s="77"/>
      <c r="G49" s="58"/>
    </row>
    <row r="50" spans="1:7" s="47" customFormat="1" ht="30" customHeight="1" thickBot="1" x14ac:dyDescent="0.3">
      <c r="A50" s="155" t="s">
        <v>12</v>
      </c>
      <c r="B50" s="163">
        <v>3</v>
      </c>
      <c r="C50" s="163"/>
      <c r="D50" s="156" t="s">
        <v>15</v>
      </c>
      <c r="E50" s="157" t="s">
        <v>80</v>
      </c>
      <c r="F50" s="158" t="s">
        <v>47</v>
      </c>
      <c r="G50" s="46"/>
    </row>
    <row r="51" spans="1:7" s="47" customFormat="1" ht="30" customHeight="1" thickBot="1" x14ac:dyDescent="0.3">
      <c r="A51" s="78" t="s">
        <v>5</v>
      </c>
      <c r="B51" s="160" t="s">
        <v>41</v>
      </c>
      <c r="C51" s="159"/>
      <c r="D51" s="78" t="s">
        <v>13</v>
      </c>
      <c r="E51" s="250" t="s">
        <v>14</v>
      </c>
      <c r="F51" s="251"/>
      <c r="G51" s="46"/>
    </row>
    <row r="52" spans="1:7" s="52" customFormat="1" ht="27" x14ac:dyDescent="0.3">
      <c r="A52" s="48" t="s">
        <v>17</v>
      </c>
      <c r="B52" s="49">
        <v>2</v>
      </c>
      <c r="C52" s="151" t="str">
        <f xml:space="preserve"> IF(B52="","",setValueToTime(B52))</f>
        <v>0h10min</v>
      </c>
      <c r="D52" s="191" t="s">
        <v>83</v>
      </c>
      <c r="E52" s="245"/>
      <c r="F52" s="246"/>
      <c r="G52" s="51"/>
    </row>
    <row r="53" spans="1:7" s="52" customFormat="1" ht="27" x14ac:dyDescent="0.3">
      <c r="A53" s="53" t="s">
        <v>32</v>
      </c>
      <c r="B53" s="54">
        <v>4</v>
      </c>
      <c r="C53" s="152" t="str">
        <f t="shared" ref="C53:C59" si="4" xml:space="preserve"> IF(B53="","",setValueToTime(B53))</f>
        <v>0h20min</v>
      </c>
      <c r="D53" s="192" t="s">
        <v>81</v>
      </c>
      <c r="E53" s="237"/>
      <c r="F53" s="238"/>
      <c r="G53" s="51"/>
    </row>
    <row r="54" spans="1:7" s="52" customFormat="1" ht="27" x14ac:dyDescent="0.3">
      <c r="A54" s="53" t="s">
        <v>50</v>
      </c>
      <c r="B54" s="54">
        <v>3</v>
      </c>
      <c r="C54" s="152" t="str">
        <f t="shared" si="4"/>
        <v>0h15min</v>
      </c>
      <c r="D54" s="192" t="s">
        <v>87</v>
      </c>
      <c r="E54" s="237"/>
      <c r="F54" s="238"/>
      <c r="G54" s="51"/>
    </row>
    <row r="55" spans="1:7" s="52" customFormat="1" x14ac:dyDescent="0.3">
      <c r="A55" s="53" t="s">
        <v>52</v>
      </c>
      <c r="B55" s="54">
        <v>1</v>
      </c>
      <c r="C55" s="152" t="str">
        <f t="shared" si="4"/>
        <v>0h5min</v>
      </c>
      <c r="D55" s="192" t="s">
        <v>93</v>
      </c>
      <c r="E55" s="237"/>
      <c r="F55" s="238"/>
      <c r="G55" s="51"/>
    </row>
    <row r="56" spans="1:7" s="52" customFormat="1" ht="27" x14ac:dyDescent="0.3">
      <c r="A56" s="54" t="s">
        <v>54</v>
      </c>
      <c r="B56" s="54">
        <v>8</v>
      </c>
      <c r="C56" s="153" t="str">
        <f t="shared" si="4"/>
        <v>0h40min</v>
      </c>
      <c r="D56" s="192" t="s">
        <v>91</v>
      </c>
      <c r="E56" s="252" t="s">
        <v>92</v>
      </c>
      <c r="F56" s="238"/>
      <c r="G56" s="51"/>
    </row>
    <row r="57" spans="1:7" s="52" customFormat="1" x14ac:dyDescent="0.3">
      <c r="A57" s="54"/>
      <c r="B57" s="54"/>
      <c r="C57" s="153" t="str">
        <f t="shared" si="4"/>
        <v/>
      </c>
      <c r="D57" s="193"/>
      <c r="E57" s="237"/>
      <c r="F57" s="238"/>
      <c r="G57" s="51"/>
    </row>
    <row r="58" spans="1:7" s="52" customFormat="1" x14ac:dyDescent="0.3">
      <c r="A58" s="54"/>
      <c r="B58" s="54"/>
      <c r="C58" s="153" t="str">
        <f t="shared" si="4"/>
        <v/>
      </c>
      <c r="D58" s="193"/>
      <c r="E58" s="237"/>
      <c r="F58" s="238"/>
      <c r="G58" s="51"/>
    </row>
    <row r="59" spans="1:7" s="52" customFormat="1" ht="15" thickBot="1" x14ac:dyDescent="0.35">
      <c r="A59" s="56"/>
      <c r="B59" s="56"/>
      <c r="C59" s="154" t="str">
        <f t="shared" si="4"/>
        <v/>
      </c>
      <c r="D59" s="194"/>
      <c r="E59" s="239"/>
      <c r="F59" s="240"/>
      <c r="G59" s="51"/>
    </row>
    <row r="60" spans="1:7" s="52" customFormat="1" ht="15" thickBot="1" x14ac:dyDescent="0.35">
      <c r="A60" s="161" t="s">
        <v>29</v>
      </c>
      <c r="B60" s="83">
        <f>SUM(B52:B59)</f>
        <v>18</v>
      </c>
      <c r="C60" s="161" t="str">
        <f xml:space="preserve"> setValueToTime(B60)</f>
        <v>1h30min</v>
      </c>
      <c r="D60" s="195"/>
      <c r="E60" s="248"/>
      <c r="F60" s="249"/>
      <c r="G60" s="51"/>
    </row>
    <row r="61" spans="1:7" s="59" customFormat="1" ht="15" thickBot="1" x14ac:dyDescent="0.35">
      <c r="A61" s="196"/>
      <c r="B61" s="196"/>
      <c r="C61" s="196"/>
      <c r="D61" s="196"/>
      <c r="E61" s="196"/>
      <c r="F61" s="77"/>
      <c r="G61" s="58"/>
    </row>
    <row r="62" spans="1:7" s="47" customFormat="1" ht="30" customHeight="1" thickBot="1" x14ac:dyDescent="0.3">
      <c r="A62" s="155" t="s">
        <v>12</v>
      </c>
      <c r="B62" s="163">
        <v>2</v>
      </c>
      <c r="C62" s="163"/>
      <c r="D62" s="156" t="s">
        <v>15</v>
      </c>
      <c r="E62" s="157" t="s">
        <v>48</v>
      </c>
      <c r="F62" s="158" t="s">
        <v>47</v>
      </c>
      <c r="G62" s="46"/>
    </row>
    <row r="63" spans="1:7" s="47" customFormat="1" ht="30" customHeight="1" thickBot="1" x14ac:dyDescent="0.3">
      <c r="A63" s="78" t="s">
        <v>5</v>
      </c>
      <c r="B63" s="160" t="s">
        <v>41</v>
      </c>
      <c r="C63" s="159"/>
      <c r="D63" s="78" t="s">
        <v>13</v>
      </c>
      <c r="E63" s="250" t="s">
        <v>14</v>
      </c>
      <c r="F63" s="251"/>
      <c r="G63" s="46"/>
    </row>
    <row r="64" spans="1:7" s="52" customFormat="1" ht="27" x14ac:dyDescent="0.3">
      <c r="A64" s="48" t="s">
        <v>17</v>
      </c>
      <c r="B64" s="49">
        <v>2</v>
      </c>
      <c r="C64" s="151" t="str">
        <f xml:space="preserve"> IF(B64="","",setValueToTime(B64))</f>
        <v>0h10min</v>
      </c>
      <c r="D64" s="191" t="s">
        <v>83</v>
      </c>
      <c r="E64" s="245"/>
      <c r="F64" s="246"/>
      <c r="G64" s="51"/>
    </row>
    <row r="65" spans="1:7" s="52" customFormat="1" ht="60" customHeight="1" x14ac:dyDescent="0.3">
      <c r="A65" s="53" t="s">
        <v>51</v>
      </c>
      <c r="B65" s="54">
        <v>4</v>
      </c>
      <c r="C65" s="152" t="str">
        <f t="shared" ref="C65:C71" si="5" xml:space="preserve"> IF(B65="","",setValueToTime(B65))</f>
        <v>0h20min</v>
      </c>
      <c r="D65" s="192" t="s">
        <v>89</v>
      </c>
      <c r="E65" s="247" t="s">
        <v>90</v>
      </c>
      <c r="F65" s="238"/>
      <c r="G65" s="51"/>
    </row>
    <row r="66" spans="1:7" s="52" customFormat="1" ht="27" x14ac:dyDescent="0.3">
      <c r="A66" s="53" t="s">
        <v>50</v>
      </c>
      <c r="B66" s="54">
        <v>4</v>
      </c>
      <c r="C66" s="152" t="str">
        <f t="shared" si="5"/>
        <v>0h20min</v>
      </c>
      <c r="D66" s="192" t="s">
        <v>82</v>
      </c>
      <c r="E66" s="237"/>
      <c r="F66" s="238"/>
      <c r="G66" s="51"/>
    </row>
    <row r="67" spans="1:7" s="52" customFormat="1" ht="27" x14ac:dyDescent="0.3">
      <c r="A67" s="53" t="s">
        <v>32</v>
      </c>
      <c r="B67" s="54">
        <v>8</v>
      </c>
      <c r="C67" s="152" t="str">
        <f t="shared" si="5"/>
        <v>0h40min</v>
      </c>
      <c r="D67" s="192" t="s">
        <v>81</v>
      </c>
      <c r="E67" s="237"/>
      <c r="F67" s="238"/>
      <c r="G67" s="51"/>
    </row>
    <row r="68" spans="1:7" s="52" customFormat="1" x14ac:dyDescent="0.3">
      <c r="A68" s="54"/>
      <c r="B68" s="54"/>
      <c r="C68" s="153" t="str">
        <f t="shared" si="5"/>
        <v/>
      </c>
      <c r="D68" s="193"/>
      <c r="E68" s="237"/>
      <c r="F68" s="238"/>
      <c r="G68" s="51"/>
    </row>
    <row r="69" spans="1:7" s="52" customFormat="1" x14ac:dyDescent="0.3">
      <c r="A69" s="54"/>
      <c r="B69" s="54"/>
      <c r="C69" s="153" t="str">
        <f t="shared" si="5"/>
        <v/>
      </c>
      <c r="D69" s="193"/>
      <c r="E69" s="237"/>
      <c r="F69" s="238"/>
      <c r="G69" s="51"/>
    </row>
    <row r="70" spans="1:7" s="52" customFormat="1" x14ac:dyDescent="0.3">
      <c r="A70" s="54"/>
      <c r="B70" s="54"/>
      <c r="C70" s="153" t="str">
        <f t="shared" si="5"/>
        <v/>
      </c>
      <c r="D70" s="193"/>
      <c r="E70" s="237"/>
      <c r="F70" s="238"/>
      <c r="G70" s="51"/>
    </row>
    <row r="71" spans="1:7" s="52" customFormat="1" ht="15" thickBot="1" x14ac:dyDescent="0.35">
      <c r="A71" s="56"/>
      <c r="B71" s="56"/>
      <c r="C71" s="154" t="str">
        <f t="shared" si="5"/>
        <v/>
      </c>
      <c r="D71" s="194"/>
      <c r="E71" s="239"/>
      <c r="F71" s="240"/>
      <c r="G71" s="51"/>
    </row>
    <row r="72" spans="1:7" s="52" customFormat="1" ht="15" thickBot="1" x14ac:dyDescent="0.35">
      <c r="A72" s="161" t="s">
        <v>29</v>
      </c>
      <c r="B72" s="83">
        <f>SUM(B64:B71)</f>
        <v>18</v>
      </c>
      <c r="C72" s="161" t="str">
        <f xml:space="preserve"> setValueToTime(B72)</f>
        <v>1h30min</v>
      </c>
      <c r="D72" s="195"/>
      <c r="E72" s="248"/>
      <c r="F72" s="249"/>
      <c r="G72" s="51"/>
    </row>
    <row r="73" spans="1:7" s="59" customFormat="1" ht="15" thickBot="1" x14ac:dyDescent="0.35">
      <c r="A73" s="196"/>
      <c r="B73" s="196"/>
      <c r="C73" s="196"/>
      <c r="D73" s="196"/>
      <c r="E73" s="196"/>
      <c r="F73" s="77"/>
      <c r="G73" s="58"/>
    </row>
    <row r="74" spans="1:7" s="47" customFormat="1" ht="30" customHeight="1" thickBot="1" x14ac:dyDescent="0.3">
      <c r="A74" s="155" t="s">
        <v>12</v>
      </c>
      <c r="B74" s="163">
        <v>1</v>
      </c>
      <c r="C74" s="163"/>
      <c r="D74" s="156" t="s">
        <v>15</v>
      </c>
      <c r="E74" s="157" t="s">
        <v>49</v>
      </c>
      <c r="F74" s="158" t="s">
        <v>47</v>
      </c>
      <c r="G74" s="46"/>
    </row>
    <row r="75" spans="1:7" s="47" customFormat="1" ht="30" customHeight="1" thickBot="1" x14ac:dyDescent="0.3">
      <c r="A75" s="78" t="s">
        <v>5</v>
      </c>
      <c r="B75" s="160" t="s">
        <v>41</v>
      </c>
      <c r="C75" s="159"/>
      <c r="D75" s="78" t="s">
        <v>13</v>
      </c>
      <c r="E75" s="250" t="s">
        <v>14</v>
      </c>
      <c r="F75" s="251"/>
      <c r="G75" s="46"/>
    </row>
    <row r="76" spans="1:7" s="52" customFormat="1" ht="68.25" customHeight="1" x14ac:dyDescent="0.3">
      <c r="A76" s="48" t="s">
        <v>4</v>
      </c>
      <c r="B76" s="49">
        <v>18</v>
      </c>
      <c r="C76" s="151" t="str">
        <f xml:space="preserve"> IF(B76="","",setValueToTime(B76))</f>
        <v>1h30min</v>
      </c>
      <c r="D76" s="191" t="s">
        <v>46</v>
      </c>
      <c r="E76" s="253" t="s">
        <v>88</v>
      </c>
      <c r="F76" s="246"/>
      <c r="G76" s="51"/>
    </row>
    <row r="77" spans="1:7" s="52" customFormat="1" x14ac:dyDescent="0.3">
      <c r="A77" s="53"/>
      <c r="B77" s="54"/>
      <c r="C77" s="152" t="str">
        <f t="shared" ref="C77:C83" si="6" xml:space="preserve"> IF(B77="","",setValueToTime(B77))</f>
        <v/>
      </c>
      <c r="D77" s="193"/>
      <c r="E77" s="237"/>
      <c r="F77" s="238"/>
      <c r="G77" s="51"/>
    </row>
    <row r="78" spans="1:7" s="52" customFormat="1" x14ac:dyDescent="0.3">
      <c r="A78" s="53"/>
      <c r="B78" s="54"/>
      <c r="C78" s="152" t="str">
        <f t="shared" si="6"/>
        <v/>
      </c>
      <c r="D78" s="193"/>
      <c r="E78" s="237"/>
      <c r="F78" s="238"/>
      <c r="G78" s="51"/>
    </row>
    <row r="79" spans="1:7" s="52" customFormat="1" x14ac:dyDescent="0.3">
      <c r="A79" s="53"/>
      <c r="B79" s="54"/>
      <c r="C79" s="152" t="str">
        <f t="shared" si="6"/>
        <v/>
      </c>
      <c r="D79" s="193"/>
      <c r="E79" s="237"/>
      <c r="F79" s="238"/>
      <c r="G79" s="51"/>
    </row>
    <row r="80" spans="1:7" s="52" customFormat="1" x14ac:dyDescent="0.3">
      <c r="A80" s="54"/>
      <c r="B80" s="54"/>
      <c r="C80" s="153" t="str">
        <f t="shared" si="6"/>
        <v/>
      </c>
      <c r="D80" s="193"/>
      <c r="E80" s="237"/>
      <c r="F80" s="238"/>
      <c r="G80" s="51"/>
    </row>
    <row r="81" spans="1:7" s="52" customFormat="1" x14ac:dyDescent="0.3">
      <c r="A81" s="54"/>
      <c r="B81" s="54"/>
      <c r="C81" s="153" t="str">
        <f t="shared" si="6"/>
        <v/>
      </c>
      <c r="D81" s="193"/>
      <c r="E81" s="237"/>
      <c r="F81" s="238"/>
      <c r="G81" s="51"/>
    </row>
    <row r="82" spans="1:7" s="52" customFormat="1" x14ac:dyDescent="0.3">
      <c r="A82" s="54"/>
      <c r="B82" s="54"/>
      <c r="C82" s="153" t="str">
        <f t="shared" si="6"/>
        <v/>
      </c>
      <c r="D82" s="193"/>
      <c r="E82" s="237"/>
      <c r="F82" s="238"/>
      <c r="G82" s="51"/>
    </row>
    <row r="83" spans="1:7" s="52" customFormat="1" ht="15" thickBot="1" x14ac:dyDescent="0.35">
      <c r="A83" s="56"/>
      <c r="B83" s="56"/>
      <c r="C83" s="154" t="str">
        <f t="shared" si="6"/>
        <v/>
      </c>
      <c r="D83" s="194"/>
      <c r="E83" s="239"/>
      <c r="F83" s="240"/>
      <c r="G83" s="51"/>
    </row>
    <row r="84" spans="1:7" s="52" customFormat="1" ht="15" thickBot="1" x14ac:dyDescent="0.35">
      <c r="A84" s="161" t="s">
        <v>29</v>
      </c>
      <c r="B84" s="83">
        <f>SUM(B76:B83)</f>
        <v>18</v>
      </c>
      <c r="C84" s="161" t="str">
        <f xml:space="preserve"> setValueToTime(B84)</f>
        <v>1h30min</v>
      </c>
      <c r="D84" s="195"/>
      <c r="E84" s="248"/>
      <c r="F84" s="249"/>
      <c r="G84" s="51"/>
    </row>
    <row r="85" spans="1:7" s="59" customFormat="1" x14ac:dyDescent="0.3">
      <c r="A85" s="196"/>
      <c r="B85" s="196"/>
      <c r="C85" s="196"/>
      <c r="D85" s="196"/>
      <c r="E85" s="196"/>
      <c r="F85" s="77"/>
      <c r="G85" s="58"/>
    </row>
  </sheetData>
  <sheetProtection formatRows="0" insertRows="0" insertHyperlinks="0" deleteRows="0" selectLockedCells="1"/>
  <mergeCells count="70">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70:F70"/>
    <mergeCell ref="E71:F71"/>
    <mergeCell ref="E72:F72"/>
    <mergeCell ref="E81:F81"/>
    <mergeCell ref="E39:F39"/>
    <mergeCell ref="E40:F40"/>
    <mergeCell ref="E41:F41"/>
    <mergeCell ref="E42:F42"/>
    <mergeCell ref="E43:F43"/>
    <mergeCell ref="E44:F44"/>
    <mergeCell ref="E45:F45"/>
    <mergeCell ref="E46:F46"/>
    <mergeCell ref="E47:F47"/>
    <mergeCell ref="E48:F48"/>
    <mergeCell ref="E51:F51"/>
    <mergeCell ref="E52:F52"/>
    <mergeCell ref="E82:F82"/>
    <mergeCell ref="E83:F83"/>
    <mergeCell ref="E84:F84"/>
    <mergeCell ref="E63:F63"/>
    <mergeCell ref="E64:F64"/>
    <mergeCell ref="E65:F65"/>
    <mergeCell ref="E66:F66"/>
    <mergeCell ref="E67:F67"/>
    <mergeCell ref="E68:F68"/>
    <mergeCell ref="E75:F75"/>
    <mergeCell ref="E76:F76"/>
    <mergeCell ref="E77:F77"/>
    <mergeCell ref="E78:F78"/>
    <mergeCell ref="E79:F79"/>
    <mergeCell ref="E80:F80"/>
    <mergeCell ref="E69:F69"/>
    <mergeCell ref="E58:F58"/>
    <mergeCell ref="E59:F59"/>
    <mergeCell ref="E60:F60"/>
    <mergeCell ref="E53:F53"/>
    <mergeCell ref="E54:F54"/>
    <mergeCell ref="E55:F55"/>
    <mergeCell ref="E56:F56"/>
    <mergeCell ref="E57:F57"/>
    <mergeCell ref="E15:F15"/>
    <mergeCell ref="E16:F16"/>
    <mergeCell ref="E17:F17"/>
    <mergeCell ref="E18:F18"/>
    <mergeCell ref="E19:F19"/>
    <mergeCell ref="E20:F20"/>
    <mergeCell ref="E21:F21"/>
    <mergeCell ref="E22:F22"/>
    <mergeCell ref="E23:F23"/>
    <mergeCell ref="E24:F24"/>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formula1>0</formula1>
      <formula2>60</formula2>
    </dataValidation>
    <dataValidation type="list" allowBlank="1" showInputMessage="1" showErrorMessage="1" sqref="A76:A83 A64:A71 A52:A59 A40:A47 A28:A35 A16:A23 A4:A11">
      <formula1>ListeTaches</formula1>
    </dataValidation>
  </dataValidations>
  <hyperlinks>
    <hyperlink ref="E76" r:id="rId1"/>
    <hyperlink ref="E56" r:id="rId2"/>
    <hyperlink ref="E41" r:id="rId3" location="main.py"/>
    <hyperlink ref="E30" r:id="rId4" location="main.py"/>
    <hyperlink ref="E6" r:id="rId5"/>
    <hyperlink ref="E4" r:id="rId6"/>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7"/>
  <headerFooter alignWithMargins="0">
    <oddHeader>&amp;L&amp;"ETML,Normal"&amp;14ETML&amp;R&amp;14&amp;USection Informatique</oddHeader>
    <oddFooter>&amp;L&amp;14&amp;D - GGZ&amp;C&amp;14&amp;F - &amp;A&amp;R&amp;14&amp;P/&amp;N</oddFooter>
  </headerFooter>
  <drawing r:id="rId8"/>
  <legacyDrawing r:id="rId9"/>
  <controls>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5"/>
      <c r="B10" s="205"/>
      <c r="C10" s="205"/>
      <c r="D10" s="205"/>
      <c r="E10" s="205"/>
      <c r="F10" s="205"/>
      <c r="G10" s="205"/>
      <c r="H10" s="205"/>
      <c r="I10" s="205"/>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205"/>
      <c r="AI10" s="205"/>
      <c r="AJ10" s="205"/>
      <c r="AK10" s="205"/>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90"/>
    </row>
    <row r="11" spans="1:61" ht="18" x14ac:dyDescent="0.25">
      <c r="A11" s="206"/>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90"/>
    </row>
    <row r="12" spans="1:61" ht="18.75" thickBot="1" x14ac:dyDescent="0.3">
      <c r="A12" s="207"/>
      <c r="B12" s="207"/>
      <c r="C12" s="207"/>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90"/>
    </row>
    <row r="13" spans="1:61" ht="18.75" thickBot="1" x14ac:dyDescent="0.3">
      <c r="A13" s="208" t="s">
        <v>12</v>
      </c>
      <c r="B13" s="209"/>
      <c r="C13" s="209"/>
      <c r="D13" s="209"/>
      <c r="E13" s="209"/>
      <c r="F13" s="209"/>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10"/>
      <c r="BI13" s="90"/>
    </row>
    <row r="14" spans="1:61" ht="15.75" thickBot="1" x14ac:dyDescent="0.35">
      <c r="A14" s="102"/>
      <c r="B14" s="103"/>
      <c r="C14" s="103"/>
      <c r="D14" s="103"/>
      <c r="E14" s="211" t="s">
        <v>35</v>
      </c>
      <c r="F14" s="211"/>
      <c r="G14" s="211"/>
      <c r="H14" s="211"/>
      <c r="I14" s="103"/>
      <c r="J14" s="103"/>
      <c r="K14" s="212" t="s">
        <v>24</v>
      </c>
      <c r="L14" s="212"/>
      <c r="M14" s="212"/>
      <c r="N14" s="212"/>
      <c r="O14" s="128"/>
      <c r="P14" s="128"/>
      <c r="Q14" s="211" t="s">
        <v>36</v>
      </c>
      <c r="R14" s="211"/>
      <c r="S14" s="211"/>
      <c r="T14" s="211"/>
      <c r="U14" s="103"/>
      <c r="V14" s="103"/>
      <c r="W14" s="212" t="s">
        <v>25</v>
      </c>
      <c r="X14" s="212"/>
      <c r="Y14" s="212"/>
      <c r="Z14" s="212"/>
      <c r="AA14" s="128"/>
      <c r="AB14" s="128"/>
      <c r="AC14" s="211" t="s">
        <v>37</v>
      </c>
      <c r="AD14" s="211"/>
      <c r="AE14" s="211"/>
      <c r="AF14" s="211"/>
      <c r="AG14" s="103"/>
      <c r="AH14" s="103"/>
      <c r="AI14" s="212" t="s">
        <v>26</v>
      </c>
      <c r="AJ14" s="212"/>
      <c r="AK14" s="212"/>
      <c r="AL14" s="212"/>
      <c r="AM14" s="128"/>
      <c r="AN14" s="128"/>
      <c r="AO14" s="211" t="s">
        <v>38</v>
      </c>
      <c r="AP14" s="211"/>
      <c r="AQ14" s="211"/>
      <c r="AR14" s="211"/>
      <c r="AS14" s="103"/>
      <c r="AT14" s="103"/>
      <c r="AU14" s="212" t="s">
        <v>27</v>
      </c>
      <c r="AV14" s="212"/>
      <c r="AW14" s="212"/>
      <c r="AX14" s="212"/>
      <c r="AY14" s="128"/>
      <c r="AZ14" s="128"/>
      <c r="BA14" s="211" t="s">
        <v>39</v>
      </c>
      <c r="BB14" s="211"/>
      <c r="BC14" s="211"/>
      <c r="BD14" s="211"/>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41</v>
      </c>
      <c r="C2" s="150"/>
      <c r="D2" s="80" t="s">
        <v>13</v>
      </c>
      <c r="E2" s="243" t="s">
        <v>14</v>
      </c>
      <c r="F2" s="244"/>
      <c r="G2" s="46"/>
    </row>
    <row r="3" spans="1:7" s="52" customFormat="1" x14ac:dyDescent="0.3">
      <c r="A3" s="48"/>
      <c r="B3" s="49"/>
      <c r="C3" s="151" t="str">
        <f xml:space="preserve"> IF(B3="","",setValueToTime(B3))</f>
        <v/>
      </c>
      <c r="D3" s="50"/>
      <c r="E3" s="245"/>
      <c r="F3" s="246"/>
      <c r="G3" s="51"/>
    </row>
    <row r="4" spans="1:7" s="52" customFormat="1" x14ac:dyDescent="0.3">
      <c r="A4" s="53"/>
      <c r="B4" s="54"/>
      <c r="C4" s="152" t="str">
        <f t="shared" ref="C4:C10" si="0" xml:space="preserve"> IF(B4="","",setValueToTime(B4))</f>
        <v/>
      </c>
      <c r="D4" s="55"/>
      <c r="E4" s="237"/>
      <c r="F4" s="238"/>
      <c r="G4" s="51"/>
    </row>
    <row r="5" spans="1:7" s="52" customFormat="1" x14ac:dyDescent="0.3">
      <c r="A5" s="53"/>
      <c r="B5" s="54"/>
      <c r="C5" s="152" t="str">
        <f t="shared" si="0"/>
        <v/>
      </c>
      <c r="D5" s="55"/>
      <c r="E5" s="237"/>
      <c r="F5" s="238"/>
      <c r="G5" s="51"/>
    </row>
    <row r="6" spans="1:7" s="52" customFormat="1" x14ac:dyDescent="0.3">
      <c r="A6" s="53"/>
      <c r="B6" s="54"/>
      <c r="C6" s="152" t="str">
        <f t="shared" si="0"/>
        <v/>
      </c>
      <c r="D6" s="55"/>
      <c r="E6" s="237"/>
      <c r="F6" s="238"/>
      <c r="G6" s="51"/>
    </row>
    <row r="7" spans="1:7" s="52" customFormat="1" x14ac:dyDescent="0.3">
      <c r="A7" s="54"/>
      <c r="B7" s="54"/>
      <c r="C7" s="153" t="str">
        <f t="shared" si="0"/>
        <v/>
      </c>
      <c r="D7" s="55"/>
      <c r="E7" s="237"/>
      <c r="F7" s="238"/>
      <c r="G7" s="51"/>
    </row>
    <row r="8" spans="1:7" s="52" customFormat="1" x14ac:dyDescent="0.3">
      <c r="A8" s="54"/>
      <c r="B8" s="54"/>
      <c r="C8" s="153" t="str">
        <f t="shared" si="0"/>
        <v/>
      </c>
      <c r="D8" s="55"/>
      <c r="E8" s="237"/>
      <c r="F8" s="238"/>
      <c r="G8" s="51"/>
    </row>
    <row r="9" spans="1:7" s="52" customFormat="1" x14ac:dyDescent="0.3">
      <c r="A9" s="54"/>
      <c r="B9" s="54"/>
      <c r="C9" s="153" t="str">
        <f t="shared" si="0"/>
        <v/>
      </c>
      <c r="D9" s="55"/>
      <c r="E9" s="237"/>
      <c r="F9" s="238"/>
      <c r="G9" s="51"/>
    </row>
    <row r="10" spans="1:7" s="52" customFormat="1" ht="15" thickBot="1" x14ac:dyDescent="0.35">
      <c r="A10" s="56"/>
      <c r="B10" s="56"/>
      <c r="C10" s="154" t="str">
        <f t="shared" si="0"/>
        <v/>
      </c>
      <c r="D10" s="57"/>
      <c r="E10" s="239"/>
      <c r="F10" s="240"/>
      <c r="G10" s="51"/>
    </row>
    <row r="11" spans="1:7" s="52" customFormat="1" ht="15" thickBot="1" x14ac:dyDescent="0.35">
      <c r="A11" s="110" t="s">
        <v>29</v>
      </c>
      <c r="B11" s="84">
        <f>SUM(B3:B10)</f>
        <v>0</v>
      </c>
      <c r="C11" s="110" t="str">
        <f xml:space="preserve"> setValueToTime(B11)</f>
        <v>0h</v>
      </c>
      <c r="D11" s="119"/>
      <c r="E11" s="241"/>
      <c r="F11" s="242"/>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41</v>
      </c>
      <c r="C2" s="159"/>
      <c r="D2" s="78" t="s">
        <v>13</v>
      </c>
      <c r="E2" s="250" t="s">
        <v>14</v>
      </c>
      <c r="F2" s="251"/>
      <c r="G2" s="46"/>
    </row>
    <row r="3" spans="1:7" s="52" customFormat="1" x14ac:dyDescent="0.3">
      <c r="A3" s="48"/>
      <c r="B3" s="49"/>
      <c r="C3" s="151" t="str">
        <f xml:space="preserve"> IF(B3="","",setValueToTime(B3))</f>
        <v/>
      </c>
      <c r="D3" s="50"/>
      <c r="E3" s="245"/>
      <c r="F3" s="246"/>
      <c r="G3" s="51"/>
    </row>
    <row r="4" spans="1:7" s="52" customFormat="1" x14ac:dyDescent="0.3">
      <c r="A4" s="53"/>
      <c r="B4" s="54"/>
      <c r="C4" s="152" t="str">
        <f t="shared" ref="C4:C10" si="0" xml:space="preserve"> IF(B4="","",setValueToTime(B4))</f>
        <v/>
      </c>
      <c r="D4" s="55"/>
      <c r="E4" s="237"/>
      <c r="F4" s="238"/>
      <c r="G4" s="51"/>
    </row>
    <row r="5" spans="1:7" s="52" customFormat="1" x14ac:dyDescent="0.3">
      <c r="A5" s="53"/>
      <c r="B5" s="54"/>
      <c r="C5" s="152" t="str">
        <f t="shared" si="0"/>
        <v/>
      </c>
      <c r="D5" s="55"/>
      <c r="E5" s="237"/>
      <c r="F5" s="238"/>
      <c r="G5" s="51"/>
    </row>
    <row r="6" spans="1:7" s="52" customFormat="1" x14ac:dyDescent="0.3">
      <c r="A6" s="53"/>
      <c r="B6" s="54"/>
      <c r="C6" s="152" t="str">
        <f t="shared" si="0"/>
        <v/>
      </c>
      <c r="D6" s="55"/>
      <c r="E6" s="237"/>
      <c r="F6" s="238"/>
      <c r="G6" s="51"/>
    </row>
    <row r="7" spans="1:7" s="52" customFormat="1" x14ac:dyDescent="0.3">
      <c r="A7" s="54"/>
      <c r="B7" s="54"/>
      <c r="C7" s="153" t="str">
        <f t="shared" si="0"/>
        <v/>
      </c>
      <c r="D7" s="55"/>
      <c r="E7" s="237"/>
      <c r="F7" s="238"/>
      <c r="G7" s="51"/>
    </row>
    <row r="8" spans="1:7" s="52" customFormat="1" x14ac:dyDescent="0.3">
      <c r="A8" s="54"/>
      <c r="B8" s="54"/>
      <c r="C8" s="153" t="str">
        <f t="shared" si="0"/>
        <v/>
      </c>
      <c r="D8" s="55"/>
      <c r="E8" s="237"/>
      <c r="F8" s="238"/>
      <c r="G8" s="51"/>
    </row>
    <row r="9" spans="1:7" s="52" customFormat="1" x14ac:dyDescent="0.3">
      <c r="A9" s="54"/>
      <c r="B9" s="54"/>
      <c r="C9" s="153" t="str">
        <f t="shared" si="0"/>
        <v/>
      </c>
      <c r="D9" s="55"/>
      <c r="E9" s="237"/>
      <c r="F9" s="238"/>
      <c r="G9" s="51"/>
    </row>
    <row r="10" spans="1:7" s="52" customFormat="1" ht="15" thickBot="1" x14ac:dyDescent="0.35">
      <c r="A10" s="56"/>
      <c r="B10" s="56"/>
      <c r="C10" s="154" t="str">
        <f t="shared" si="0"/>
        <v/>
      </c>
      <c r="D10" s="57"/>
      <c r="E10" s="239"/>
      <c r="F10" s="240"/>
      <c r="G10" s="51"/>
    </row>
    <row r="11" spans="1:7" s="52" customFormat="1" ht="15" thickBot="1" x14ac:dyDescent="0.35">
      <c r="A11" s="161" t="s">
        <v>29</v>
      </c>
      <c r="B11" s="83">
        <f>SUM(B3:B10)</f>
        <v>0</v>
      </c>
      <c r="C11" s="161" t="str">
        <f xml:space="preserve"> setValueToTime(B11)</f>
        <v>0h</v>
      </c>
      <c r="D11" s="120"/>
      <c r="E11" s="248"/>
      <c r="F11" s="24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111B0F6B9A4254395AB1DB111DB9386" ma:contentTypeVersion="18" ma:contentTypeDescription="Crée un document." ma:contentTypeScope="" ma:versionID="9d29985ff3620a94ff18ac98c9bf3767">
  <xsd:schema xmlns:xsd="http://www.w3.org/2001/XMLSchema" xmlns:xs="http://www.w3.org/2001/XMLSchema" xmlns:p="http://schemas.microsoft.com/office/2006/metadata/properties" xmlns:ns3="b00ac6d6-80cd-413d-830d-913bbb25803f" xmlns:ns4="ee80aa89-3e9c-4f48-b6f7-2e434b001f62" targetNamespace="http://schemas.microsoft.com/office/2006/metadata/properties" ma:root="true" ma:fieldsID="3dfcdcb3759adfbb2b3eac0861787e81" ns3:_="" ns4:_="">
    <xsd:import namespace="b00ac6d6-80cd-413d-830d-913bbb25803f"/>
    <xsd:import namespace="ee80aa89-3e9c-4f48-b6f7-2e434b001f62"/>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LengthInSecond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0ac6d6-80cd-413d-830d-913bbb2580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e80aa89-3e9c-4f48-b6f7-2e434b001f62" elementFormDefault="qualified">
    <xsd:import namespace="http://schemas.microsoft.com/office/2006/documentManagement/types"/>
    <xsd:import namespace="http://schemas.microsoft.com/office/infopath/2007/PartnerControls"/>
    <xsd:element name="SharedWithUsers" ma:index="12"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Partagé avec détails" ma:internalName="SharedWithDetails" ma:readOnly="true">
      <xsd:simpleType>
        <xsd:restriction base="dms:Note">
          <xsd:maxLength value="255"/>
        </xsd:restriction>
      </xsd:simpleType>
    </xsd:element>
    <xsd:element name="SharingHintHash" ma:index="14"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b00ac6d6-80cd-413d-830d-913bbb25803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85B032-95E8-457A-8D57-8BC99DC4F5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0ac6d6-80cd-413d-830d-913bbb25803f"/>
    <ds:schemaRef ds:uri="ee80aa89-3e9c-4f48-b6f7-2e434b001f6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F8A5FE-70ED-419D-A655-40044EB0B08E}">
  <ds:schemaRefs>
    <ds:schemaRef ds:uri="http://purl.org/dc/elements/1.1/"/>
    <ds:schemaRef ds:uri="http://schemas.microsoft.com/office/2006/metadata/properties"/>
    <ds:schemaRef ds:uri="http://schemas.openxmlformats.org/package/2006/metadata/core-properties"/>
    <ds:schemaRef ds:uri="http://purl.org/dc/terms/"/>
    <ds:schemaRef ds:uri="ee80aa89-3e9c-4f48-b6f7-2e434b001f62"/>
    <ds:schemaRef ds:uri="http://schemas.microsoft.com/office/2006/documentManagement/types"/>
    <ds:schemaRef ds:uri="b00ac6d6-80cd-413d-830d-913bbb25803f"/>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DiagrammePlanifHaut</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Maryline Vougaz</dc:creator>
  <cp:lastModifiedBy>Maryline Vougaz</cp:lastModifiedBy>
  <cp:lastPrinted>2019-05-08T10:31:53Z</cp:lastPrinted>
  <dcterms:created xsi:type="dcterms:W3CDTF">1996-10-21T11:03:58Z</dcterms:created>
  <dcterms:modified xsi:type="dcterms:W3CDTF">2024-03-08T13:44:16Z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0x0101002111B0F6B9A4254395AB1DB111DB9386</vt:lpwstr>
  </property>
</Properties>
</file>