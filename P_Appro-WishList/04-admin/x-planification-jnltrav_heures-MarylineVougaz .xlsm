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rvougaz\Documents\GitHub\p_Appro-WishList\P_Appro-WishList\04-admi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Bilan!$F$31:$CP$31,Bilan!$F$33:$CP$33,Bilan!#REF!,Bilan!#REF!,Bilan!#REF!,Bilan!#REF!,Bilan!#REF!,Bilan!#REF!</definedName>
    <definedName name="DiagrammePlanifHaut">Bilan!$F$15:$CP$15,Bilan!$F$17:$CP$17,Bilan!$F$19:$CP$19,Bilan!$F$21:$CP$21,Bilan!$F$23:$CP$23,Bilan!$F$25:$CP$25,Bilan!$F$27:$CP$27,Bilan!$F$29:$CP$29</definedName>
    <definedName name="DiagrammeRealBas">Bilan!$F$32:$CP$32,Bilan!$F$34:$CP$34,Bilan!#REF!,Bilan!#REF!,Bilan!#REF!,Bilan!#REF!,Bilan!#REF!,Bilan!#REF!</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Bilan!$B$15:$B$34</definedName>
    <definedName name="LstTaches">Bilan!$C$15:$C$34</definedName>
    <definedName name="LstTaches2">OFFSET(TRAVAUX,0,0,COUNTA(TRAVAUX),1)</definedName>
    <definedName name="NBLecons">Bilan!$E$15:$E$34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17" i="12"/>
  <c r="C5" i="12"/>
  <c r="C4" i="12"/>
  <c r="C16" i="12"/>
  <c r="C12" i="12"/>
  <c r="C24" i="12"/>
  <c r="B36" i="12" l="1"/>
  <c r="C35" i="12"/>
  <c r="C34" i="12"/>
  <c r="C33" i="12"/>
  <c r="C32" i="12"/>
  <c r="C31" i="12"/>
  <c r="C30" i="12"/>
  <c r="C36" i="12"/>
  <c r="C28" i="12"/>
  <c r="C29" i="12"/>
  <c r="B48" i="12" l="1"/>
  <c r="C47" i="12"/>
  <c r="C46" i="12"/>
  <c r="C45" i="12"/>
  <c r="C44" i="12"/>
  <c r="C48" i="12"/>
  <c r="C40" i="12"/>
  <c r="C42" i="12"/>
  <c r="C43" i="12"/>
  <c r="C41" i="12"/>
  <c r="B60" i="12" l="1"/>
  <c r="C59" i="12"/>
  <c r="C58" i="12"/>
  <c r="C57" i="12"/>
  <c r="C56" i="12"/>
  <c r="C55" i="12"/>
  <c r="C53" i="12"/>
  <c r="C54" i="12"/>
  <c r="C52" i="12"/>
  <c r="C60" i="12"/>
  <c r="B72" i="12" l="1"/>
  <c r="C71" i="12"/>
  <c r="C70" i="12"/>
  <c r="C69" i="12"/>
  <c r="C68" i="12"/>
  <c r="C66" i="12"/>
  <c r="C67" i="12"/>
  <c r="C65" i="12"/>
  <c r="C64" i="12"/>
  <c r="C72" i="12"/>
  <c r="E37" i="1" l="1"/>
  <c r="E35" i="1"/>
  <c r="B84" i="12"/>
  <c r="C83" i="12"/>
  <c r="C82" i="12"/>
  <c r="C81" i="12"/>
  <c r="C84" i="12"/>
  <c r="C80" i="12"/>
  <c r="C79" i="12"/>
  <c r="C78" i="12"/>
  <c r="C77" i="12"/>
  <c r="C76" i="12"/>
  <c r="B96" i="12" l="1"/>
  <c r="C95" i="12"/>
  <c r="C94" i="12"/>
  <c r="C93" i="12"/>
  <c r="C92" i="12"/>
  <c r="B12" i="10"/>
  <c r="C11" i="10"/>
  <c r="C10" i="10"/>
  <c r="C9" i="10"/>
  <c r="B24" i="10"/>
  <c r="C23" i="10"/>
  <c r="C22" i="10"/>
  <c r="C21" i="10"/>
  <c r="B36" i="10"/>
  <c r="C35" i="10"/>
  <c r="C34" i="10"/>
  <c r="C33" i="10"/>
  <c r="C32" i="10"/>
  <c r="B48" i="10"/>
  <c r="C47" i="10"/>
  <c r="C46" i="10"/>
  <c r="C45" i="10"/>
  <c r="C44" i="10"/>
  <c r="B60" i="10"/>
  <c r="C59" i="10"/>
  <c r="C58" i="10"/>
  <c r="C57" i="10"/>
  <c r="C56" i="10"/>
  <c r="C55" i="10"/>
  <c r="B71" i="10"/>
  <c r="C70" i="10"/>
  <c r="C69" i="10"/>
  <c r="C68" i="10"/>
  <c r="C67" i="10"/>
  <c r="C66" i="10"/>
  <c r="B83" i="10"/>
  <c r="C82" i="10"/>
  <c r="C81" i="10"/>
  <c r="C80" i="10"/>
  <c r="C79" i="10"/>
  <c r="C78" i="10"/>
  <c r="B108" i="12"/>
  <c r="C107" i="12"/>
  <c r="C106" i="12"/>
  <c r="C105" i="12"/>
  <c r="C104" i="12"/>
  <c r="C103" i="12"/>
  <c r="C102" i="12"/>
  <c r="C101" i="12"/>
  <c r="B95" i="10"/>
  <c r="C94" i="10"/>
  <c r="C93" i="10"/>
  <c r="C92" i="10"/>
  <c r="C91" i="10"/>
  <c r="C90" i="10"/>
  <c r="C53" i="10"/>
  <c r="C89" i="12"/>
  <c r="C43" i="10"/>
  <c r="C75" i="10"/>
  <c r="C64" i="10"/>
  <c r="C4" i="10"/>
  <c r="C5" i="10"/>
  <c r="C48" i="10"/>
  <c r="C40" i="10"/>
  <c r="C91" i="12"/>
  <c r="C36" i="10"/>
  <c r="C8" i="10"/>
  <c r="C77" i="10"/>
  <c r="C108" i="12"/>
  <c r="C76" i="10"/>
  <c r="C30" i="10"/>
  <c r="C96" i="12"/>
  <c r="C89" i="10"/>
  <c r="C90" i="12"/>
  <c r="C83" i="10"/>
  <c r="C16" i="10"/>
  <c r="C17" i="10"/>
  <c r="C7" i="10"/>
  <c r="C19" i="10"/>
  <c r="C87" i="10"/>
  <c r="C29" i="10"/>
  <c r="C60" i="10"/>
  <c r="C24" i="10"/>
  <c r="C95" i="10"/>
  <c r="C88" i="12"/>
  <c r="C65" i="10"/>
  <c r="C54" i="10"/>
  <c r="C71" i="10"/>
  <c r="C41" i="10"/>
  <c r="C88" i="10"/>
  <c r="C31" i="10"/>
  <c r="C52" i="10"/>
  <c r="C6" i="10"/>
  <c r="C100" i="12"/>
  <c r="C20" i="10"/>
  <c r="C28" i="10"/>
  <c r="C12" i="10"/>
  <c r="C18" i="10"/>
  <c r="C42" i="10"/>
  <c r="C10" i="15" l="1"/>
  <c r="C9" i="15"/>
  <c r="C8" i="15"/>
  <c r="C7" i="15"/>
  <c r="C6" i="15"/>
  <c r="C5" i="15"/>
  <c r="C4" i="15"/>
  <c r="C3" i="15"/>
  <c r="B11" i="15"/>
  <c r="C10" i="16"/>
  <c r="C9" i="16"/>
  <c r="C8" i="16"/>
  <c r="C7" i="16"/>
  <c r="C6" i="16"/>
  <c r="C5" i="16"/>
  <c r="C4" i="16"/>
  <c r="C3" i="16"/>
  <c r="B11" i="16"/>
  <c r="D25" i="1"/>
  <c r="D32" i="1"/>
  <c r="D16" i="1"/>
  <c r="D23" i="1"/>
  <c r="D30" i="1"/>
  <c r="D21" i="1"/>
  <c r="D28" i="1"/>
  <c r="C11" i="16"/>
  <c r="D19" i="1"/>
  <c r="D33" i="1"/>
  <c r="D17" i="1"/>
  <c r="E36" i="1"/>
  <c r="D15" i="1"/>
  <c r="D18" i="1"/>
  <c r="C11" i="15"/>
  <c r="D26" i="1"/>
  <c r="D24" i="1"/>
  <c r="D22" i="1"/>
  <c r="D29" i="1"/>
  <c r="D34" i="1"/>
  <c r="D31" i="1"/>
  <c r="D20" i="1"/>
  <c r="D27" i="1"/>
  <c r="G9" i="1" l="1"/>
  <c r="E38" i="1"/>
  <c r="AH9" i="1" l="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<sst xmlns="http://schemas.openxmlformats.org/spreadsheetml/2006/main" count="448" uniqueCount="112">
  <si>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</si>
  <si>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</si>
  <si>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</si>
  <si>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</si>
  <si>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</si>
  <si>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</si>
  <si>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</si>
  <si>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</si>
  <si>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</si>
  <si>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</si>
  <si>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</si>
  <si>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</si>
  <si>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</si>
  <si>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</si>
  <si>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</si>
  <si>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</si>
  <si>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</si>
  <si>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</si>
  <si>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</si>
  <si>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</si>
  <si>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</si>
  <si>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</si>
  <si>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</si>
  <si>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</si>
  <si>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</si>
  <si>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</si>
  <si>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</si>
  <si>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</si>
  <si>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</si>
  <si>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</si>
  <si>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</si>
  <si>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</si>
  <si>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</si>
  <si>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</si>
  <si>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</si>
  <si>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</si>
  <si>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</si>
  <si>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</si>
  <si>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</si>
  <si>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</si>
  <si>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</si>
  <si>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</si>
  <si>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Du 19.01.2024 au 15.03.2024</t>
  </si>
  <si>
    <t>p_Appro</t>
  </si>
  <si>
    <t>Maryline Vougaz</t>
  </si>
  <si>
    <t>FIN2</t>
  </si>
  <si>
    <t>Présentations de chaque objectifs du tpi par l'enseignant</t>
  </si>
  <si>
    <t>après-midi</t>
  </si>
  <si>
    <t>vendredi, 26 janvier 2024</t>
  </si>
  <si>
    <t>vendredi, 19 janvier 2024</t>
  </si>
  <si>
    <t>Doc - Cahier des charges</t>
  </si>
  <si>
    <t>Admin - Mise en place de l'environnement</t>
  </si>
  <si>
    <t>Admin - Back-up</t>
  </si>
  <si>
    <t>Réalisation - Scraper</t>
  </si>
  <si>
    <t>Admin - Formation Python</t>
  </si>
  <si>
    <t>Mise en place de la planification initiale</t>
  </si>
  <si>
    <t>Mise à jour du journal de travail</t>
  </si>
  <si>
    <t>Création du cahier des charges pour le projet</t>
  </si>
  <si>
    <t>Ajustement et validation du cahier des charges pour le projet</t>
  </si>
  <si>
    <t>Lecture de la documentation de BeautifulSoup</t>
  </si>
  <si>
    <t>Recherche, téléchargement et installations des librairies, extentions, IDE requise pour le projet
BeautifulSoup - Python - VS Code - GitHub Desktop</t>
  </si>
  <si>
    <t>Lecture de la documentation de Python concernant les librairies et les bases du langage</t>
  </si>
  <si>
    <t>Mise en place des fichiers et dossiers du projet, début de code en allant chercher les attributs important d'un produits et ce qui les distingue pour les utiliser dans le scraper</t>
  </si>
  <si>
    <t>Création du projet sur GitHub pour y sauvegarder mon projet</t>
  </si>
  <si>
    <t>Sauvegarde du projet sur le GitHub</t>
  </si>
  <si>
    <t>Tests</t>
  </si>
  <si>
    <t>Rédaction du rapport du projet</t>
  </si>
  <si>
    <t>Mise en place de la fonction qui permet de retourner le fichier .csv</t>
  </si>
  <si>
    <t>Tests pour voir si ce que retourne le scrapper est conforme à ce qui est attendu</t>
  </si>
  <si>
    <t>Correction des bugs</t>
  </si>
  <si>
    <t>Séquence 8</t>
  </si>
  <si>
    <t>vendredi, 15 mars 2024</t>
  </si>
  <si>
    <t>Séquence 7</t>
  </si>
  <si>
    <t>vendredi, 8 mars 2024</t>
  </si>
  <si>
    <t>Séquence 6</t>
  </si>
  <si>
    <t>vendredi, 1 mars 2024</t>
  </si>
  <si>
    <t>Séquence 5</t>
  </si>
  <si>
    <t>vendredi, 23 février 2024</t>
  </si>
  <si>
    <t>Séquence 4</t>
  </si>
  <si>
    <t>vendredi, 9 février 2024</t>
  </si>
  <si>
    <t>vendredi, 2 février 2024</t>
  </si>
  <si>
    <t>Mise en place du journal de travail - planning</t>
  </si>
  <si>
    <t>Mise à jour du cahier des charges</t>
  </si>
  <si>
    <t>Mise à jour de journal de travail</t>
  </si>
  <si>
    <t>121h40min</t>
  </si>
  <si>
    <t>114h10min</t>
  </si>
  <si>
    <t>- 7h30min</t>
  </si>
  <si>
    <t>Mise à jour et approbation du cahier des charges</t>
  </si>
  <si>
    <t>https://eduvaud.sharepoint.com/sites/ETML_FIN-22-24_Teams/Documents%20partages/Forms/AllItems.aspx?id=%2Fsites%2FETML%5FFIN%2D22%2D24%5FTeams%2FDocuments%20partages%2FP%5FAppro1%2Ftemplates&amp;p=true&amp;ct=1706879681447&amp;or=Teams%2DHL&amp;ga=1</t>
  </si>
  <si>
    <t>Installations de BeautifulSoup, VS Code et GitHub Desktop</t>
  </si>
  <si>
    <t>https://code.visualstudio.com/ - https://beautiful-soup-4.readthedocs.io/en/latest/#making-the-soup - https://desktop.github.com/</t>
  </si>
  <si>
    <t>Consultation de la documentation</t>
  </si>
  <si>
    <t>https://docs.python.org/3/tutorial/index.html</t>
  </si>
  <si>
    <t>Création d'une branche dans le projet - "Scrapper"</t>
  </si>
  <si>
    <t>https://pypi.org/project/beautifulsoup4/
https://beautiful-soup-4.readthedocs.io/en/latest/</t>
  </si>
  <si>
    <t>Changement d'IDE VS code -&gt; Replit</t>
  </si>
  <si>
    <t>Consultation de la documentation python &amp; beautifulsoup4 + tuto comment faire un scrapper en python</t>
  </si>
  <si>
    <t>Mise en commentares des attributs des balises (tag) pour chaque information dans le code et ébauche d'une requête et d'une boucle pour parser la page principale</t>
  </si>
  <si>
    <t>https://replit.com/@Versailles404/p-appro-scrappy#main.py</t>
  </si>
  <si>
    <t>https://www.xarala.co/blog/lire-et-ecrire-des-fichiers-csv-avec-python-et-pandas/#:~:text=Comment%20%C3%A9crire%20des%20fichiers%20CSV%20avec%20le%20module,file%3A%20writer%20%3D%20csv.writer%28file%2C%20delimiter%3D%27%3B%27%29%20writer.writerow%28%5B%22nom%22%2C%20%22age%22%5D%29%20writer.writerows%28%29
https://code.tutsplus.com/fr/scraping-webpages-in-python-with-beautiful-soup-the-basics--cms-28211t
https://beautiful-soup-4.readthedocs.io/en/latest/#making-the-soup
https://www.w3schools.com/python/python_lists.asp</t>
  </si>
  <si>
    <t>Recherche comment regrouper les infos pour un objet dans une liste pour en faire une ligne dans le fichier .csv, comment écrire dans un .csv</t>
  </si>
  <si>
    <t>Ajout d'import, début mise en place d'une liste de propriétés par objets = une ligne dans le fichier .csv, ajout de variables</t>
  </si>
  <si>
    <t>Aide à une camarade de classe pour l'utilisation d'un logiciel de maquettes</t>
  </si>
  <si>
    <t>"Imprime" les métadonnées du fichier .csv correctement</t>
  </si>
  <si>
    <t>Recherche de comment séparer les infos différentes qui ont le même attribut de distinction, pour que ça corresponde aux métadonnées choisies</t>
  </si>
  <si>
    <t>https://code.tutsplus.com/scraping-webpages-in-python-with-beautiful-soup-search-and-dom-modification--cms-28276t</t>
  </si>
  <si>
    <t>Explications par Alexandre Breuil sur comment réaliser une fonction récursive et pourquoi cela est approprié dans mon cas</t>
  </si>
  <si>
    <t>Finition de l'écriture du rapport avec les capture d'écrans</t>
  </si>
  <si>
    <t>Dernière mise à jour du journal de travail.</t>
  </si>
  <si>
    <t>Replit -&gt; PyCharm avec les librairies BS4, requests</t>
  </si>
  <si>
    <t xml:space="preserve">Création des variables qui permettent de faire une requête au site web et récolter la page en html, écriture de la boucle for pour aller chercher les informations dans la page html
</t>
  </si>
  <si>
    <t>Finition de la boucle for pour aller chercher les informations, mise en commun avec la fonction pour écrire dans le .csv.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</si>
</sst>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u/>
      <sz val="10"/>
      <color indexed="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4" xfId="0" applyFont="1" applyFill="1" applyBorder="1"/>
    <xf numFmtId="0" fontId="2" fillId="17" borderId="79" xfId="0" applyFont="1" applyFill="1" applyBorder="1"/>
    <xf numFmtId="0" fontId="2" fillId="17" borderId="25" xfId="0" applyFont="1" applyFill="1" applyBorder="1"/>
    <xf numFmtId="0" fontId="2" fillId="17" borderId="55" xfId="0" applyFont="1" applyFill="1" applyBorder="1"/>
    <xf numFmtId="0" fontId="2" fillId="17" borderId="24" xfId="0" applyFont="1" applyFill="1" applyBorder="1" applyProtection="1"/>
    <xf numFmtId="0" fontId="2" fillId="17" borderId="25" xfId="0" applyFont="1" applyFill="1" applyBorder="1" applyProtection="1"/>
    <xf numFmtId="0" fontId="2" fillId="17" borderId="72" xfId="0" applyFont="1" applyFill="1" applyBorder="1"/>
    <xf numFmtId="0" fontId="2" fillId="17" borderId="77" xfId="0" applyFont="1" applyFill="1" applyBorder="1"/>
    <xf numFmtId="2" fontId="12" fillId="18" borderId="6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3" xfId="0" applyFont="1" applyFill="1" applyBorder="1"/>
    <xf numFmtId="0" fontId="2" fillId="19" borderId="19" xfId="0" applyFont="1" applyFill="1" applyBorder="1" applyProtection="1"/>
    <xf numFmtId="0" fontId="2" fillId="19" borderId="19" xfId="0" applyFont="1" applyFill="1" applyBorder="1"/>
    <xf numFmtId="0" fontId="2" fillId="19" borderId="71" xfId="0" applyFont="1" applyFill="1" applyBorder="1"/>
    <xf numFmtId="0" fontId="2" fillId="19" borderId="78" xfId="0" applyFont="1" applyFill="1" applyBorder="1"/>
    <xf numFmtId="0" fontId="2" fillId="19" borderId="56" xfId="0" applyFont="1" applyFill="1" applyBorder="1"/>
    <xf numFmtId="0" fontId="2" fillId="19" borderId="18" xfId="0" applyFont="1" applyFill="1" applyBorder="1" applyProtection="1"/>
    <xf numFmtId="0" fontId="2" fillId="19" borderId="76" xfId="0" applyFont="1" applyFill="1" applyBorder="1"/>
    <xf numFmtId="0" fontId="2" fillId="19" borderId="54" xfId="0" applyFont="1" applyFill="1" applyBorder="1"/>
    <xf numFmtId="0" fontId="4" fillId="3" borderId="0" xfId="0" applyFont="1" applyFill="1" applyAlignment="1">
      <alignment horizontal="center" vertical="center"/>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2" fillId="0" borderId="2"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left" vertical="center" wrapText="1"/>
      <protection locked="0"/>
    </xf>
    <xf numFmtId="0" fontId="8" fillId="4" borderId="17" xfId="0" applyNumberFormat="1" applyFont="1" applyFill="1" applyBorder="1" applyAlignment="1" applyProtection="1">
      <alignment horizontal="left" vertical="center" wrapText="1"/>
    </xf>
    <xf numFmtId="0" fontId="4" fillId="12" borderId="0" xfId="0" applyFont="1" applyFill="1" applyAlignment="1" applyProtection="1">
      <alignment horizontal="center" vertical="center"/>
    </xf>
    <xf numFmtId="0" fontId="4" fillId="15" borderId="0" xfId="0" applyFont="1" applyFill="1" applyAlignment="1">
      <alignment vertical="center"/>
    </xf>
    <xf numFmtId="0" fontId="2" fillId="0" borderId="83" xfId="1" applyFont="1" applyFill="1" applyBorder="1" applyAlignment="1" applyProtection="1">
      <alignment horizontal="center" vertical="center" wrapText="1"/>
      <protection locked="0"/>
    </xf>
    <xf numFmtId="0" fontId="2" fillId="0" borderId="83" xfId="0" applyFont="1" applyFill="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0" fillId="0" borderId="83" xfId="0" applyFont="1" applyFill="1" applyBorder="1" applyAlignment="1" applyProtection="1">
      <alignment horizontal="left" vertical="center" wrapText="1"/>
      <protection locked="0"/>
    </xf>
    <xf numFmtId="0" fontId="2" fillId="0" borderId="60"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2" xfId="0" applyFont="1" applyFill="1" applyBorder="1" applyAlignment="1" applyProtection="1">
      <alignment horizontal="left" vertical="center" wrapText="1" indent="1"/>
      <protection locked="0"/>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65" fontId="7" fillId="8" borderId="46" xfId="0" applyNumberFormat="1" applyFont="1" applyFill="1" applyBorder="1" applyAlignment="1">
      <alignment horizontal="lef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9" borderId="0" xfId="0" applyFill="1" applyBorder="1" applyAlignment="1">
      <alignment horizontal="center"/>
    </xf>
    <xf numFmtId="0" fontId="0" fillId="0" borderId="0" xfId="0" applyBorder="1" applyAlignment="1">
      <alignment horizont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25" fillId="0" borderId="33" xfId="1"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1"/>
              <c:pt idx="0">
                <c:v>Absences - imprévus </c:v>
              </c:pt>
              <c:pt idx="1">
                <c:v>Analyse - Planification initiale</c:v>
              </c:pt>
              <c:pt idx="2">
                <c:v>Réalisation - Scraper</c:v>
              </c:pt>
              <c:pt idx="3">
                <c:v>Doc - Journal de travail</c:v>
              </c:pt>
              <c:pt idx="4">
                <c:v>Doc - Rapport</c:v>
              </c:pt>
              <c:pt idx="5">
                <c:v>Doc - Cahier des charges</c:v>
              </c:pt>
              <c:pt idx="6">
                <c:v>Admin - Mise en place de l'environnement</c:v>
              </c:pt>
              <c:pt idx="7">
                <c:v>Admin - Back-up</c:v>
              </c:pt>
              <c:pt idx="8">
                <c:v>Admin - Formation Python</c:v>
              </c:pt>
              <c:pt idx="9">
                <c:v>Tests</c:v>
              </c:pt>
            </c:strLit>
          </c:cat>
          <c:val>
            <c:numLit>
              <c:formatCode>General</c:formatCode>
              <c:ptCount val="11"/>
              <c:pt idx="0">
                <c:v>11.420000076293945</c:v>
              </c:pt>
              <c:pt idx="1">
                <c:v>12.579999923706055</c:v>
              </c:pt>
              <c:pt idx="2">
                <c:v>12.25</c:v>
              </c:pt>
              <c:pt idx="3">
                <c:v>12.420000076293945</c:v>
              </c:pt>
              <c:pt idx="4">
                <c:v>11.420000076293945</c:v>
              </c:pt>
              <c:pt idx="5">
                <c:v>12.829999923706055</c:v>
              </c:pt>
              <c:pt idx="6">
                <c:v>13.25</c:v>
              </c:pt>
              <c:pt idx="7">
                <c:v>11.5</c:v>
              </c:pt>
              <c:pt idx="8">
                <c:v>12.579999923706055</c:v>
              </c:pt>
              <c:pt idx="9">
                <c:v>11.420000076293945</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11.420000076293945</c:v>
              </c:pt>
              <c:pt idx="1">
                <c:v>11.420000076293945</c:v>
              </c:pt>
              <c:pt idx="2">
                <c:v>11.420000076293945</c:v>
              </c:pt>
              <c:pt idx="3">
                <c:v>11.420000076293945</c:v>
              </c:pt>
              <c:pt idx="4">
                <c:v>11.420000076293945</c:v>
              </c:pt>
              <c:pt idx="5">
                <c:v>11.420000076293945</c:v>
              </c:pt>
              <c:pt idx="6">
                <c:v>11.420000076293945</c:v>
              </c:pt>
              <c:pt idx="7">
                <c:v>11.420000076293945</c:v>
              </c:pt>
              <c:pt idx="8">
                <c:v>11.420000076293945</c:v>
              </c:pt>
              <c:pt idx="9">
                <c:v>11.420000076293945</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613742" y="197069"/>
          <a:ext cx="1353615" cy="395423"/>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288923" cy="536420"/>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replit.com/@Versailles404/p-appro-scrappy"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docs.python.org/3/tutorial/index.html" TargetMode="External"/><Relationship Id="rId1" Type="http://schemas.openxmlformats.org/officeDocument/2006/relationships/hyperlink" Target="https://eduvaud.sharepoint.com/sites/ETML_FIN-22-24_Teams/Documents%20partages/Forms/AllItems.aspx?id=%2Fsites%2FETML%5FFIN%2D22%2D24%5FTeams%2FDocuments%20partages%2FP%5FAppro1%2Ftemplates&amp;p=true&amp;ct=1706879681447&amp;or=Teams%2DHL&amp;ga=1"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code.tutsplus.com/scraping-webpages-in-python-with-beautiful-soup-search-and-dom-modification--cms-28276t" TargetMode="External"/><Relationship Id="rId10" Type="http://schemas.openxmlformats.org/officeDocument/2006/relationships/image" Target="../media/image5.emf"/><Relationship Id="rId4" Type="http://schemas.openxmlformats.org/officeDocument/2006/relationships/hyperlink" Target="https://replit.com/@Versailles404/p-appro-scrappy"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7" sqref="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03" t="s">
        <v>33</v>
      </c>
      <c r="C35" s="203"/>
      <c r="D35" s="203"/>
      <c r="E35" s="106" t="s">
        <v>84</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8" t="s">
        <v>85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77" t="s">
        <v>86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TZ99"/>
  <sheetViews>
    <sheetView showGridLines="0" zoomScale="46" zoomScaleNormal="46" zoomScaleSheetLayoutView="43" workbookViewId="0">
      <selection activeCell="NC66" sqref="N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545" width="1.140625" style="3" customWidth="1"/>
    <col min="546" max="546" width="2.7109375" style="3" customWidth="1"/>
    <col min="547" max="16384" width="11.42578125" style="3"/>
  </cols>
  <sheetData>
    <row r="1" spans="1:546" ht="35.1" customHeight="1" x14ac:dyDescent="0.25">
      <c r="B1" s="95"/>
      <c r="C1" s="230" t="s">
        <v>31</v>
      </c>
      <c r="D1" s="230"/>
      <c r="E1" s="23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93">
        <v>1</v>
      </c>
    </row>
    <row r="2" spans="1:54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90"/>
    </row>
    <row r="3" spans="1:546" ht="30" customHeight="1" x14ac:dyDescent="0.25">
      <c r="B3" s="96"/>
      <c r="C3" s="7" t="s">
        <v>0</v>
      </c>
      <c r="D3" s="139"/>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90"/>
    </row>
    <row r="4" spans="1:546" ht="30" customHeight="1" x14ac:dyDescent="0.25">
      <c r="B4" s="96"/>
      <c r="C4" s="12" t="s">
        <v>6</v>
      </c>
      <c r="D4" s="140"/>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90"/>
    </row>
    <row r="5" spans="1:546" ht="30" customHeight="1" x14ac:dyDescent="0.25">
      <c r="B5" s="96"/>
      <c r="C5" s="12" t="s">
        <v>1</v>
      </c>
      <c r="D5" s="140"/>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90"/>
    </row>
    <row r="6" spans="1:54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90"/>
    </row>
    <row r="7" spans="1:546" ht="20.100000000000001" customHeight="1" thickBot="1" x14ac:dyDescent="0.3">
      <c r="B7" s="96"/>
      <c r="C7" s="231"/>
      <c r="D7" s="231"/>
      <c r="E7" s="23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90"/>
    </row>
    <row r="8" spans="1:546" ht="30" customHeight="1" x14ac:dyDescent="0.25">
      <c r="B8" s="96"/>
      <c r="C8" s="7" t="s">
        <v>3</v>
      </c>
      <c r="D8" s="139"/>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90"/>
    </row>
    <row r="9" spans="1:546" ht="30" customHeight="1" x14ac:dyDescent="0.25">
      <c r="B9" s="96"/>
      <c r="C9" s="12" t="s">
        <v>18</v>
      </c>
      <c r="D9" s="140"/>
      <c r="E9" s="13" t="s">
        <v>22</v>
      </c>
      <c r="F9" s="14"/>
      <c r="G9" s="227" t="str">
        <f>E36</f>
        <v>37h50min</v>
      </c>
      <c r="H9" s="227"/>
      <c r="I9" s="227"/>
      <c r="J9" s="227"/>
      <c r="K9" s="227"/>
      <c r="L9" s="227"/>
      <c r="M9" s="227"/>
      <c r="N9" s="227"/>
      <c r="O9" s="227"/>
      <c r="P9" s="227"/>
      <c r="Q9" s="227"/>
      <c r="R9" s="227"/>
      <c r="S9" s="227"/>
      <c r="T9" s="227"/>
      <c r="U9" s="227"/>
      <c r="V9" s="118"/>
      <c r="W9" s="234" t="s">
        <v>23</v>
      </c>
      <c r="X9" s="234"/>
      <c r="Y9" s="234"/>
      <c r="Z9" s="234"/>
      <c r="AA9" s="234"/>
      <c r="AB9" s="234"/>
      <c r="AC9" s="234"/>
      <c r="AD9" s="234"/>
      <c r="AE9" s="234"/>
      <c r="AF9" s="234"/>
      <c r="AG9" s="234"/>
      <c r="AH9" s="227" t="str">
        <f>E38</f>
        <v>39h10min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90"/>
    </row>
    <row r="10" spans="1:54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6"/>
      <c r="BO10" s="236"/>
      <c r="BP10" s="236"/>
      <c r="BQ10" s="236"/>
      <c r="BR10" s="236"/>
      <c r="BS10" s="236"/>
      <c r="BT10" s="236"/>
      <c r="BU10" s="236"/>
      <c r="BV10" s="236"/>
      <c r="BW10" s="236"/>
      <c r="BX10" s="236"/>
      <c r="BY10" s="236"/>
      <c r="BZ10" s="236"/>
      <c r="CA10" s="236"/>
      <c r="CB10" s="236"/>
      <c r="CC10" s="236"/>
      <c r="CD10" s="236"/>
      <c r="CE10" s="236"/>
      <c r="CF10" s="236"/>
      <c r="CG10" s="236"/>
      <c r="CH10" s="236"/>
      <c r="CI10" s="236"/>
      <c r="CJ10" s="236"/>
      <c r="CK10" s="236"/>
      <c r="CL10" s="236"/>
      <c r="CM10" s="236"/>
      <c r="CN10" s="236"/>
      <c r="CO10" s="236"/>
      <c r="CP10" s="236"/>
      <c r="CQ10" s="92"/>
      <c r="CR10" s="235"/>
      <c r="CS10" s="235"/>
      <c r="CT10" s="235"/>
      <c r="CU10" s="235"/>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c r="FO10" s="235"/>
      <c r="FP10" s="235"/>
      <c r="FQ10" s="235"/>
      <c r="FR10" s="235"/>
      <c r="FS10" s="235"/>
      <c r="FT10" s="235"/>
      <c r="FU10" s="235"/>
      <c r="FV10" s="235"/>
      <c r="FW10" s="235"/>
      <c r="FX10" s="235"/>
      <c r="FY10" s="235"/>
      <c r="FZ10" s="235"/>
      <c r="GA10" s="235"/>
      <c r="GB10" s="235"/>
      <c r="GC10" s="235"/>
      <c r="GD10" s="235"/>
      <c r="GE10" s="235"/>
      <c r="GF10" s="235"/>
      <c r="GG10" s="235"/>
      <c r="GH10" s="235"/>
      <c r="GI10" s="235"/>
      <c r="GJ10" s="235"/>
      <c r="GK10" s="235"/>
      <c r="GL10" s="235"/>
      <c r="GM10" s="235"/>
      <c r="GN10" s="235"/>
      <c r="GO10" s="235"/>
      <c r="GP10" s="235"/>
      <c r="GQ10" s="235"/>
      <c r="GR10" s="235"/>
      <c r="GS10" s="235"/>
      <c r="GT10" s="235"/>
      <c r="GU10" s="235"/>
      <c r="GV10" s="235"/>
      <c r="GW10" s="235"/>
      <c r="GX10" s="235"/>
      <c r="GY10" s="235"/>
      <c r="GZ10" s="235"/>
      <c r="HA10" s="235"/>
      <c r="HB10" s="235"/>
      <c r="HC10" s="235"/>
      <c r="HD10" s="235"/>
      <c r="HE10" s="235"/>
      <c r="HF10" s="235"/>
      <c r="HG10" s="235"/>
      <c r="HH10" s="235"/>
      <c r="HI10" s="235"/>
      <c r="HJ10" s="235"/>
      <c r="HK10" s="235"/>
      <c r="HL10" s="235"/>
      <c r="HM10" s="235"/>
      <c r="HN10" s="235"/>
      <c r="HO10" s="235"/>
      <c r="HP10" s="235"/>
      <c r="HQ10" s="235"/>
      <c r="HR10" s="235"/>
      <c r="HS10" s="235"/>
      <c r="HT10" s="235"/>
      <c r="HU10" s="235"/>
      <c r="HV10" s="235"/>
      <c r="HW10" s="235"/>
      <c r="HX10" s="235"/>
      <c r="HY10" s="235"/>
      <c r="HZ10" s="235"/>
      <c r="IA10" s="235"/>
      <c r="IB10" s="235"/>
      <c r="IC10" s="235"/>
      <c r="ID10" s="235"/>
      <c r="IE10" s="235"/>
      <c r="IF10" s="235"/>
      <c r="IG10" s="235"/>
      <c r="IH10" s="235"/>
      <c r="II10" s="235"/>
      <c r="IJ10" s="235"/>
      <c r="IK10" s="235"/>
      <c r="IL10" s="235"/>
      <c r="IM10" s="235"/>
      <c r="IN10" s="235"/>
      <c r="IO10" s="235"/>
      <c r="IP10" s="235"/>
      <c r="IQ10" s="235"/>
      <c r="IR10" s="235"/>
      <c r="IS10" s="235"/>
      <c r="IT10" s="235"/>
      <c r="IU10" s="235"/>
      <c r="IV10" s="235"/>
      <c r="IW10" s="235"/>
      <c r="IX10" s="235"/>
      <c r="IY10" s="235"/>
      <c r="IZ10" s="235"/>
      <c r="JA10" s="235"/>
      <c r="JB10" s="235"/>
      <c r="JC10" s="235"/>
      <c r="JD10" s="235"/>
      <c r="JE10" s="235"/>
      <c r="JF10" s="235"/>
      <c r="JG10" s="235"/>
      <c r="JH10" s="235"/>
      <c r="JI10" s="235"/>
      <c r="JJ10" s="235"/>
      <c r="JK10" s="235"/>
      <c r="JL10" s="235"/>
      <c r="JM10" s="235"/>
      <c r="JN10" s="235"/>
      <c r="JO10" s="235"/>
      <c r="JP10" s="235"/>
      <c r="JQ10" s="235"/>
      <c r="JR10" s="235"/>
      <c r="JS10" s="235"/>
      <c r="JT10" s="235"/>
      <c r="JU10" s="235"/>
      <c r="JV10" s="235"/>
      <c r="JW10" s="235"/>
      <c r="JX10" s="235"/>
      <c r="JY10" s="235"/>
      <c r="JZ10" s="235"/>
      <c r="KA10" s="235"/>
      <c r="KB10" s="235"/>
      <c r="KC10" s="235"/>
      <c r="KD10" s="235"/>
      <c r="KE10" s="235"/>
      <c r="KF10" s="235"/>
      <c r="KG10" s="235"/>
      <c r="KH10" s="235"/>
      <c r="KI10" s="235"/>
      <c r="KJ10" s="235"/>
      <c r="KK10" s="235"/>
      <c r="KL10" s="235"/>
      <c r="KM10" s="235"/>
      <c r="KN10" s="235"/>
      <c r="KO10" s="235"/>
      <c r="KP10" s="235"/>
      <c r="KQ10" s="235"/>
      <c r="KR10" s="235"/>
      <c r="KS10" s="235"/>
      <c r="KT10" s="235"/>
      <c r="KU10" s="235"/>
      <c r="KV10" s="235"/>
      <c r="KW10" s="235"/>
      <c r="KX10" s="235"/>
      <c r="KY10" s="235"/>
      <c r="KZ10" s="235"/>
      <c r="LA10" s="235"/>
      <c r="LB10" s="235"/>
      <c r="LC10" s="235"/>
      <c r="LD10" s="235"/>
      <c r="LE10" s="235"/>
      <c r="LF10" s="235"/>
      <c r="LG10" s="235"/>
      <c r="LH10" s="235"/>
      <c r="LI10" s="235"/>
      <c r="LJ10" s="235"/>
      <c r="LK10" s="235"/>
      <c r="LL10" s="235"/>
      <c r="LM10" s="235"/>
      <c r="LN10" s="235"/>
      <c r="LO10" s="235"/>
      <c r="LP10" s="235"/>
      <c r="LQ10" s="235"/>
      <c r="LR10" s="235"/>
      <c r="LS10" s="235"/>
      <c r="LT10" s="235"/>
      <c r="LU10" s="235"/>
      <c r="LV10" s="235"/>
      <c r="LW10" s="235"/>
      <c r="LX10" s="235"/>
      <c r="LY10" s="235"/>
      <c r="LZ10" s="235"/>
      <c r="MA10" s="235"/>
      <c r="MB10" s="235"/>
      <c r="MC10" s="235"/>
      <c r="MD10" s="235"/>
      <c r="ME10" s="235"/>
      <c r="MF10" s="235"/>
      <c r="MG10" s="235"/>
      <c r="MH10" s="235"/>
      <c r="MI10" s="235"/>
      <c r="MJ10" s="235"/>
      <c r="MK10" s="235"/>
      <c r="ML10" s="235"/>
      <c r="MM10" s="235"/>
      <c r="MN10" s="235"/>
      <c r="MO10" s="235"/>
      <c r="MP10" s="235"/>
      <c r="MQ10" s="235"/>
      <c r="MR10" s="235"/>
      <c r="MS10" s="235"/>
      <c r="MT10" s="235"/>
      <c r="MU10" s="235"/>
      <c r="MV10" s="235"/>
      <c r="MW10" s="235"/>
      <c r="MX10" s="235"/>
      <c r="MY10" s="235"/>
      <c r="MZ10" s="235"/>
      <c r="NA10" s="235"/>
      <c r="NB10" s="235"/>
      <c r="NC10" s="235"/>
      <c r="ND10" s="235"/>
      <c r="NE10" s="235"/>
      <c r="NF10" s="235"/>
      <c r="NG10" s="235"/>
      <c r="NH10" s="235"/>
      <c r="NI10" s="235"/>
      <c r="NJ10" s="235"/>
      <c r="NK10" s="235"/>
      <c r="NL10" s="235"/>
      <c r="NM10" s="235"/>
      <c r="NN10" s="235"/>
      <c r="NO10" s="235"/>
      <c r="NP10" s="235"/>
      <c r="NQ10" s="235"/>
      <c r="NR10" s="235"/>
      <c r="NS10" s="235"/>
      <c r="NT10" s="235"/>
      <c r="NU10" s="235"/>
      <c r="NV10" s="235"/>
      <c r="NW10" s="235"/>
      <c r="NX10" s="235"/>
      <c r="NY10" s="235"/>
      <c r="NZ10" s="235"/>
      <c r="OA10" s="235"/>
      <c r="OB10" s="235"/>
      <c r="OC10" s="235"/>
      <c r="OD10" s="235"/>
      <c r="OE10" s="235"/>
      <c r="OF10" s="235"/>
      <c r="OG10" s="235"/>
      <c r="OH10" s="235"/>
      <c r="OI10" s="235"/>
      <c r="OJ10" s="235"/>
      <c r="OK10" s="235"/>
      <c r="OL10" s="235"/>
      <c r="OM10" s="235"/>
      <c r="ON10" s="235"/>
      <c r="OO10" s="235"/>
      <c r="OP10" s="235"/>
      <c r="OQ10" s="235"/>
      <c r="OR10" s="235"/>
      <c r="OS10" s="235"/>
      <c r="OT10" s="235"/>
      <c r="OU10" s="235"/>
      <c r="OV10" s="235"/>
      <c r="OW10" s="235"/>
      <c r="OX10" s="235"/>
      <c r="OY10" s="235"/>
      <c r="OZ10" s="235"/>
      <c r="PA10" s="235"/>
      <c r="PB10" s="235"/>
      <c r="PC10" s="235"/>
      <c r="PD10" s="235"/>
      <c r="PE10" s="235"/>
      <c r="PF10" s="235"/>
      <c r="PG10" s="235"/>
      <c r="PH10" s="235"/>
      <c r="PI10" s="235"/>
      <c r="PJ10" s="235"/>
      <c r="PK10" s="235"/>
      <c r="PL10" s="235"/>
      <c r="PM10" s="235"/>
      <c r="PN10" s="235"/>
      <c r="PO10" s="235"/>
      <c r="PP10" s="235"/>
      <c r="PQ10" s="235"/>
      <c r="PR10" s="235"/>
      <c r="PS10" s="235"/>
      <c r="PT10" s="235"/>
      <c r="PU10" s="235"/>
      <c r="PV10" s="235"/>
      <c r="PW10" s="235"/>
      <c r="PX10" s="235"/>
      <c r="PY10" s="235"/>
      <c r="PZ10" s="235"/>
      <c r="QA10" s="235"/>
      <c r="QB10" s="235"/>
      <c r="QC10" s="235"/>
      <c r="QD10" s="235"/>
      <c r="QE10" s="235"/>
      <c r="QF10" s="235"/>
      <c r="QG10" s="235"/>
      <c r="QH10" s="235"/>
      <c r="QI10" s="235"/>
      <c r="QJ10" s="235"/>
      <c r="QK10" s="235"/>
      <c r="QL10" s="235"/>
      <c r="QM10" s="235"/>
      <c r="QN10" s="235"/>
      <c r="QO10" s="235"/>
      <c r="QP10" s="235"/>
      <c r="QQ10" s="235"/>
      <c r="QR10" s="235"/>
      <c r="QS10" s="235"/>
      <c r="QT10" s="235"/>
      <c r="QU10" s="235"/>
      <c r="QV10" s="235"/>
      <c r="QW10" s="235"/>
      <c r="QX10" s="235"/>
      <c r="QY10" s="235"/>
      <c r="QZ10" s="235"/>
      <c r="RA10" s="235"/>
      <c r="RB10" s="235"/>
      <c r="RC10" s="235"/>
      <c r="RD10" s="235"/>
      <c r="RE10" s="235"/>
      <c r="RF10" s="235"/>
      <c r="RG10" s="235"/>
      <c r="RH10" s="235"/>
      <c r="RI10" s="235"/>
      <c r="RJ10" s="235"/>
      <c r="RK10" s="235"/>
      <c r="RL10" s="235"/>
      <c r="RM10" s="235"/>
      <c r="RN10" s="235"/>
      <c r="RO10" s="235"/>
      <c r="RP10" s="235"/>
      <c r="RQ10" s="235"/>
      <c r="RR10" s="235"/>
      <c r="RS10" s="235"/>
      <c r="RT10" s="235"/>
      <c r="RU10" s="235"/>
      <c r="RV10" s="235"/>
      <c r="RW10" s="235"/>
      <c r="RX10" s="235"/>
      <c r="RY10" s="235"/>
      <c r="RZ10" s="235"/>
      <c r="SA10" s="235"/>
      <c r="SB10" s="235"/>
      <c r="SC10" s="235"/>
      <c r="SD10" s="235"/>
      <c r="SE10" s="235"/>
      <c r="SF10" s="235"/>
      <c r="SG10" s="235"/>
      <c r="SH10" s="235"/>
      <c r="SI10" s="235"/>
      <c r="SJ10" s="235"/>
      <c r="SK10" s="235"/>
      <c r="SL10" s="235"/>
      <c r="SM10" s="235"/>
      <c r="SN10" s="235"/>
      <c r="SO10" s="235"/>
      <c r="SP10" s="235"/>
      <c r="SQ10" s="235"/>
      <c r="SR10" s="235"/>
      <c r="SS10" s="235"/>
      <c r="ST10" s="235"/>
      <c r="SU10" s="235"/>
      <c r="SV10" s="235"/>
      <c r="SW10" s="235"/>
      <c r="SX10" s="235"/>
      <c r="SY10" s="235"/>
      <c r="SZ10" s="235"/>
      <c r="TA10" s="235"/>
      <c r="TB10" s="235"/>
      <c r="TC10" s="235"/>
      <c r="TD10" s="235"/>
      <c r="TE10" s="235"/>
      <c r="TF10" s="235"/>
      <c r="TG10" s="235"/>
      <c r="TH10" s="235"/>
      <c r="TI10" s="235"/>
      <c r="TJ10" s="235"/>
      <c r="TK10" s="235"/>
      <c r="TL10" s="235"/>
      <c r="TM10" s="235"/>
      <c r="TN10" s="235"/>
      <c r="TO10" s="235"/>
      <c r="TP10" s="235"/>
      <c r="TQ10" s="235"/>
      <c r="TR10" s="235"/>
      <c r="TS10" s="235"/>
      <c r="TT10" s="235"/>
      <c r="TU10" s="235"/>
      <c r="TV10" s="235"/>
      <c r="TW10" s="235"/>
      <c r="TX10" s="235"/>
      <c r="TY10" s="235"/>
      <c r="TZ10" s="90"/>
    </row>
    <row r="11" spans="1:546" ht="20.100000000000001" customHeight="1" x14ac:dyDescent="0.25">
      <c r="B11" s="96"/>
      <c r="C11" s="228"/>
      <c r="D11" s="228"/>
      <c r="E11" s="228"/>
      <c r="F11" s="233" t="s">
        <v>49</v>
      </c>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t="s">
        <v>48</v>
      </c>
      <c r="BO11" s="233"/>
      <c r="BP11" s="233"/>
      <c r="BQ11" s="233"/>
      <c r="BR11" s="233"/>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c r="DA11" s="233"/>
      <c r="DB11" s="233"/>
      <c r="DC11" s="233"/>
      <c r="DD11" s="233"/>
      <c r="DE11" s="233"/>
      <c r="DF11" s="233"/>
      <c r="DG11" s="233"/>
      <c r="DH11" s="233"/>
      <c r="DI11" s="233"/>
      <c r="DJ11" s="233"/>
      <c r="DK11" s="233"/>
      <c r="DL11" s="233"/>
      <c r="DM11" s="233"/>
      <c r="DN11" s="233"/>
      <c r="DO11" s="233"/>
      <c r="DP11" s="233"/>
      <c r="DQ11" s="233"/>
      <c r="DR11" s="233"/>
      <c r="DS11" s="233"/>
      <c r="DT11" s="233"/>
      <c r="DU11" s="233"/>
      <c r="DV11" s="205" t="s">
        <v>80</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79</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77</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75</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73</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71</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90"/>
    </row>
    <row r="12" spans="1:546" ht="15.75" customHeight="1" thickBot="1" x14ac:dyDescent="0.3">
      <c r="B12" s="97"/>
      <c r="C12" s="229"/>
      <c r="D12" s="229"/>
      <c r="E12" s="229"/>
      <c r="F12" s="232" t="s">
        <v>47</v>
      </c>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232"/>
      <c r="BJ12" s="232"/>
      <c r="BK12" s="232"/>
      <c r="BL12" s="232"/>
      <c r="BM12" s="232"/>
      <c r="BN12" s="232" t="s">
        <v>47</v>
      </c>
      <c r="BO12" s="232"/>
      <c r="BP12" s="232"/>
      <c r="BQ12" s="232"/>
      <c r="BR12" s="232"/>
      <c r="BS12" s="232"/>
      <c r="BT12" s="232"/>
      <c r="BU12" s="232"/>
      <c r="BV12" s="232"/>
      <c r="BW12" s="232"/>
      <c r="BX12" s="232"/>
      <c r="BY12" s="232"/>
      <c r="BZ12" s="232"/>
      <c r="CA12" s="232"/>
      <c r="CB12" s="232"/>
      <c r="CC12" s="232"/>
      <c r="CD12" s="232"/>
      <c r="CE12" s="232"/>
      <c r="CF12" s="232"/>
      <c r="CG12" s="232"/>
      <c r="CH12" s="232"/>
      <c r="CI12" s="232"/>
      <c r="CJ12" s="232"/>
      <c r="CK12" s="232"/>
      <c r="CL12" s="232"/>
      <c r="CM12" s="232"/>
      <c r="CN12" s="232"/>
      <c r="CO12" s="232"/>
      <c r="CP12" s="232"/>
      <c r="CQ12" s="232"/>
      <c r="CR12" s="232"/>
      <c r="CS12" s="232"/>
      <c r="CT12" s="232"/>
      <c r="CU12" s="232"/>
      <c r="CV12" s="232"/>
      <c r="CW12" s="232"/>
      <c r="CX12" s="232"/>
      <c r="CY12" s="232"/>
      <c r="CZ12" s="232"/>
      <c r="DA12" s="232"/>
      <c r="DB12" s="232"/>
      <c r="DC12" s="232"/>
      <c r="DD12" s="232"/>
      <c r="DE12" s="232"/>
      <c r="DF12" s="232"/>
      <c r="DG12" s="232"/>
      <c r="DH12" s="232"/>
      <c r="DI12" s="232"/>
      <c r="DJ12" s="232"/>
      <c r="DK12" s="232"/>
      <c r="DL12" s="232"/>
      <c r="DM12" s="232"/>
      <c r="DN12" s="232"/>
      <c r="DO12" s="232"/>
      <c r="DP12" s="232"/>
      <c r="DQ12" s="232"/>
      <c r="DR12" s="232"/>
      <c r="DS12" s="232"/>
      <c r="DT12" s="232"/>
      <c r="DU12" s="232"/>
      <c r="DV12" s="206" t="s">
        <v>47</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47</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47</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47</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47</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47</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90"/>
    </row>
    <row r="13" spans="1:546" ht="42.75" customHeight="1" thickBot="1" x14ac:dyDescent="0.3">
      <c r="B13" s="96"/>
      <c r="C13" s="223" t="s">
        <v>7</v>
      </c>
      <c r="D13" s="143"/>
      <c r="E13" s="225" t="s">
        <v>40</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28</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19</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78</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76</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74</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72</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70</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12</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90"/>
    </row>
    <row r="14" spans="1:546" ht="12.75" customHeight="1" thickBot="1" x14ac:dyDescent="0.35">
      <c r="B14" s="96"/>
      <c r="C14" s="224"/>
      <c r="D14" s="144"/>
      <c r="E14" s="226"/>
      <c r="F14" s="102"/>
      <c r="G14" s="103"/>
      <c r="H14" s="103"/>
      <c r="I14" s="103"/>
      <c r="J14" s="210" t="s">
        <v>35</v>
      </c>
      <c r="K14" s="210"/>
      <c r="L14" s="210"/>
      <c r="M14" s="210"/>
      <c r="N14" s="103"/>
      <c r="O14" s="103"/>
      <c r="P14" s="211" t="s">
        <v>24</v>
      </c>
      <c r="Q14" s="211"/>
      <c r="R14" s="211"/>
      <c r="S14" s="211"/>
      <c r="T14" s="128"/>
      <c r="U14" s="128"/>
      <c r="V14" s="210" t="s">
        <v>36</v>
      </c>
      <c r="W14" s="210"/>
      <c r="X14" s="210"/>
      <c r="Y14" s="210"/>
      <c r="Z14" s="103"/>
      <c r="AA14" s="103"/>
      <c r="AB14" s="211" t="s">
        <v>25</v>
      </c>
      <c r="AC14" s="211"/>
      <c r="AD14" s="211"/>
      <c r="AE14" s="211"/>
      <c r="AF14" s="128"/>
      <c r="AG14" s="128"/>
      <c r="AH14" s="210" t="s">
        <v>37</v>
      </c>
      <c r="AI14" s="210"/>
      <c r="AJ14" s="210"/>
      <c r="AK14" s="210"/>
      <c r="AL14" s="103"/>
      <c r="AM14" s="103"/>
      <c r="AN14" s="211" t="s">
        <v>26</v>
      </c>
      <c r="AO14" s="211"/>
      <c r="AP14" s="211"/>
      <c r="AQ14" s="211"/>
      <c r="AR14" s="128"/>
      <c r="AS14" s="128"/>
      <c r="AT14" s="210" t="s">
        <v>38</v>
      </c>
      <c r="AU14" s="210"/>
      <c r="AV14" s="210"/>
      <c r="AW14" s="210"/>
      <c r="AX14" s="103"/>
      <c r="AY14" s="103"/>
      <c r="AZ14" s="211" t="s">
        <v>27</v>
      </c>
      <c r="BA14" s="211"/>
      <c r="BB14" s="211"/>
      <c r="BC14" s="211"/>
      <c r="BD14" s="128"/>
      <c r="BE14" s="128"/>
      <c r="BF14" s="210" t="s">
        <v>39</v>
      </c>
      <c r="BG14" s="210"/>
      <c r="BH14" s="210"/>
      <c r="BI14" s="210"/>
      <c r="BJ14" s="103"/>
      <c r="BK14" s="103"/>
      <c r="BL14" s="103"/>
      <c r="BM14" s="104"/>
      <c r="BN14" s="102"/>
      <c r="BO14" s="103"/>
      <c r="BP14" s="103"/>
      <c r="BQ14" s="103"/>
      <c r="BR14" s="210" t="s">
        <v>35</v>
      </c>
      <c r="BS14" s="210"/>
      <c r="BT14" s="210"/>
      <c r="BU14" s="210"/>
      <c r="BV14" s="103"/>
      <c r="BW14" s="103"/>
      <c r="BX14" s="211" t="s">
        <v>24</v>
      </c>
      <c r="BY14" s="211"/>
      <c r="BZ14" s="211"/>
      <c r="CA14" s="211"/>
      <c r="CB14" s="128"/>
      <c r="CC14" s="128"/>
      <c r="CD14" s="210" t="s">
        <v>36</v>
      </c>
      <c r="CE14" s="210"/>
      <c r="CF14" s="210"/>
      <c r="CG14" s="210"/>
      <c r="CH14" s="103"/>
      <c r="CI14" s="103"/>
      <c r="CJ14" s="211" t="s">
        <v>25</v>
      </c>
      <c r="CK14" s="211"/>
      <c r="CL14" s="211"/>
      <c r="CM14" s="211"/>
      <c r="CN14" s="128"/>
      <c r="CO14" s="128"/>
      <c r="CP14" s="210" t="s">
        <v>37</v>
      </c>
      <c r="CQ14" s="210"/>
      <c r="CR14" s="210"/>
      <c r="CS14" s="210"/>
      <c r="CT14" s="103"/>
      <c r="CU14" s="103"/>
      <c r="CV14" s="211" t="s">
        <v>26</v>
      </c>
      <c r="CW14" s="211"/>
      <c r="CX14" s="211"/>
      <c r="CY14" s="211"/>
      <c r="CZ14" s="128"/>
      <c r="DA14" s="128"/>
      <c r="DB14" s="210" t="s">
        <v>38</v>
      </c>
      <c r="DC14" s="210"/>
      <c r="DD14" s="210"/>
      <c r="DE14" s="210"/>
      <c r="DF14" s="103"/>
      <c r="DG14" s="103"/>
      <c r="DH14" s="211" t="s">
        <v>27</v>
      </c>
      <c r="DI14" s="211"/>
      <c r="DJ14" s="211"/>
      <c r="DK14" s="211"/>
      <c r="DL14" s="128"/>
      <c r="DM14" s="128"/>
      <c r="DN14" s="210" t="s">
        <v>39</v>
      </c>
      <c r="DO14" s="210"/>
      <c r="DP14" s="210"/>
      <c r="DQ14" s="210"/>
      <c r="DR14" s="103"/>
      <c r="DS14" s="103"/>
      <c r="DT14" s="103"/>
      <c r="DU14" s="104"/>
      <c r="DV14" s="102"/>
      <c r="DW14" s="103"/>
      <c r="DX14" s="103"/>
      <c r="DY14" s="103"/>
      <c r="DZ14" s="210" t="s">
        <v>35</v>
      </c>
      <c r="EA14" s="210"/>
      <c r="EB14" s="210"/>
      <c r="EC14" s="210"/>
      <c r="ED14" s="103"/>
      <c r="EE14" s="103"/>
      <c r="EF14" s="211" t="s">
        <v>24</v>
      </c>
      <c r="EG14" s="211"/>
      <c r="EH14" s="211"/>
      <c r="EI14" s="211"/>
      <c r="EJ14" s="128"/>
      <c r="EK14" s="128"/>
      <c r="EL14" s="210" t="s">
        <v>36</v>
      </c>
      <c r="EM14" s="210"/>
      <c r="EN14" s="210"/>
      <c r="EO14" s="210"/>
      <c r="EP14" s="103"/>
      <c r="EQ14" s="103"/>
      <c r="ER14" s="211" t="s">
        <v>25</v>
      </c>
      <c r="ES14" s="211"/>
      <c r="ET14" s="211"/>
      <c r="EU14" s="211"/>
      <c r="EV14" s="128"/>
      <c r="EW14" s="128"/>
      <c r="EX14" s="210" t="s">
        <v>37</v>
      </c>
      <c r="EY14" s="210"/>
      <c r="EZ14" s="210"/>
      <c r="FA14" s="210"/>
      <c r="FB14" s="103"/>
      <c r="FC14" s="103"/>
      <c r="FD14" s="211" t="s">
        <v>26</v>
      </c>
      <c r="FE14" s="211"/>
      <c r="FF14" s="211"/>
      <c r="FG14" s="211"/>
      <c r="FH14" s="128"/>
      <c r="FI14" s="128"/>
      <c r="FJ14" s="210" t="s">
        <v>38</v>
      </c>
      <c r="FK14" s="210"/>
      <c r="FL14" s="210"/>
      <c r="FM14" s="210"/>
      <c r="FN14" s="103"/>
      <c r="FO14" s="103"/>
      <c r="FP14" s="211" t="s">
        <v>27</v>
      </c>
      <c r="FQ14" s="211"/>
      <c r="FR14" s="211"/>
      <c r="FS14" s="211"/>
      <c r="FT14" s="128"/>
      <c r="FU14" s="128"/>
      <c r="FV14" s="210" t="s">
        <v>39</v>
      </c>
      <c r="FW14" s="210"/>
      <c r="FX14" s="210"/>
      <c r="FY14" s="210"/>
      <c r="FZ14" s="103"/>
      <c r="GA14" s="103"/>
      <c r="GB14" s="103"/>
      <c r="GC14" s="104"/>
      <c r="GD14" s="102"/>
      <c r="GE14" s="103"/>
      <c r="GF14" s="103"/>
      <c r="GG14" s="103"/>
      <c r="GH14" s="210" t="s">
        <v>35</v>
      </c>
      <c r="GI14" s="210"/>
      <c r="GJ14" s="210"/>
      <c r="GK14" s="210"/>
      <c r="GL14" s="103"/>
      <c r="GM14" s="103"/>
      <c r="GN14" s="211" t="s">
        <v>24</v>
      </c>
      <c r="GO14" s="211"/>
      <c r="GP14" s="211"/>
      <c r="GQ14" s="211"/>
      <c r="GR14" s="128"/>
      <c r="GS14" s="128"/>
      <c r="GT14" s="210" t="s">
        <v>36</v>
      </c>
      <c r="GU14" s="210"/>
      <c r="GV14" s="210"/>
      <c r="GW14" s="210"/>
      <c r="GX14" s="103"/>
      <c r="GY14" s="103"/>
      <c r="GZ14" s="211" t="s">
        <v>25</v>
      </c>
      <c r="HA14" s="211"/>
      <c r="HB14" s="211"/>
      <c r="HC14" s="211"/>
      <c r="HD14" s="128"/>
      <c r="HE14" s="128"/>
      <c r="HF14" s="210" t="s">
        <v>37</v>
      </c>
      <c r="HG14" s="210"/>
      <c r="HH14" s="210"/>
      <c r="HI14" s="210"/>
      <c r="HJ14" s="103"/>
      <c r="HK14" s="103"/>
      <c r="HL14" s="211" t="s">
        <v>26</v>
      </c>
      <c r="HM14" s="211"/>
      <c r="HN14" s="211"/>
      <c r="HO14" s="211"/>
      <c r="HP14" s="128"/>
      <c r="HQ14" s="128"/>
      <c r="HR14" s="210" t="s">
        <v>38</v>
      </c>
      <c r="HS14" s="210"/>
      <c r="HT14" s="210"/>
      <c r="HU14" s="210"/>
      <c r="HV14" s="103"/>
      <c r="HW14" s="103"/>
      <c r="HX14" s="211" t="s">
        <v>27</v>
      </c>
      <c r="HY14" s="211"/>
      <c r="HZ14" s="211"/>
      <c r="IA14" s="211"/>
      <c r="IB14" s="128"/>
      <c r="IC14" s="128"/>
      <c r="ID14" s="210" t="s">
        <v>39</v>
      </c>
      <c r="IE14" s="210"/>
      <c r="IF14" s="210"/>
      <c r="IG14" s="210"/>
      <c r="IH14" s="103"/>
      <c r="II14" s="103"/>
      <c r="IJ14" s="103"/>
      <c r="IK14" s="104"/>
      <c r="IL14" s="102"/>
      <c r="IM14" s="103"/>
      <c r="IN14" s="103"/>
      <c r="IO14" s="103"/>
      <c r="IP14" s="210" t="s">
        <v>35</v>
      </c>
      <c r="IQ14" s="210"/>
      <c r="IR14" s="210"/>
      <c r="IS14" s="210"/>
      <c r="IT14" s="103"/>
      <c r="IU14" s="103"/>
      <c r="IV14" s="211" t="s">
        <v>24</v>
      </c>
      <c r="IW14" s="211"/>
      <c r="IX14" s="211"/>
      <c r="IY14" s="211"/>
      <c r="IZ14" s="128"/>
      <c r="JA14" s="128"/>
      <c r="JB14" s="210" t="s">
        <v>36</v>
      </c>
      <c r="JC14" s="210"/>
      <c r="JD14" s="210"/>
      <c r="JE14" s="210"/>
      <c r="JF14" s="103"/>
      <c r="JG14" s="103"/>
      <c r="JH14" s="211" t="s">
        <v>25</v>
      </c>
      <c r="JI14" s="211"/>
      <c r="JJ14" s="211"/>
      <c r="JK14" s="211"/>
      <c r="JL14" s="128"/>
      <c r="JM14" s="128"/>
      <c r="JN14" s="210" t="s">
        <v>37</v>
      </c>
      <c r="JO14" s="210"/>
      <c r="JP14" s="210"/>
      <c r="JQ14" s="210"/>
      <c r="JR14" s="103"/>
      <c r="JS14" s="103"/>
      <c r="JT14" s="211" t="s">
        <v>26</v>
      </c>
      <c r="JU14" s="211"/>
      <c r="JV14" s="211"/>
      <c r="JW14" s="211"/>
      <c r="JX14" s="128"/>
      <c r="JY14" s="128"/>
      <c r="JZ14" s="210" t="s">
        <v>38</v>
      </c>
      <c r="KA14" s="210"/>
      <c r="KB14" s="210"/>
      <c r="KC14" s="210"/>
      <c r="KD14" s="103"/>
      <c r="KE14" s="103"/>
      <c r="KF14" s="211" t="s">
        <v>27</v>
      </c>
      <c r="KG14" s="211"/>
      <c r="KH14" s="211"/>
      <c r="KI14" s="211"/>
      <c r="KJ14" s="128"/>
      <c r="KK14" s="128"/>
      <c r="KL14" s="210" t="s">
        <v>39</v>
      </c>
      <c r="KM14" s="210"/>
      <c r="KN14" s="210"/>
      <c r="KO14" s="210"/>
      <c r="KP14" s="103"/>
      <c r="KQ14" s="103"/>
      <c r="KR14" s="103"/>
      <c r="KS14" s="104"/>
      <c r="KT14" s="102"/>
      <c r="KU14" s="103"/>
      <c r="KV14" s="103"/>
      <c r="KW14" s="103"/>
      <c r="KX14" s="210" t="s">
        <v>35</v>
      </c>
      <c r="KY14" s="210"/>
      <c r="KZ14" s="210"/>
      <c r="LA14" s="210"/>
      <c r="LB14" s="103"/>
      <c r="LC14" s="103"/>
      <c r="LD14" s="211" t="s">
        <v>24</v>
      </c>
      <c r="LE14" s="211"/>
      <c r="LF14" s="211"/>
      <c r="LG14" s="211"/>
      <c r="LH14" s="128"/>
      <c r="LI14" s="128"/>
      <c r="LJ14" s="210" t="s">
        <v>36</v>
      </c>
      <c r="LK14" s="210"/>
      <c r="LL14" s="210"/>
      <c r="LM14" s="210"/>
      <c r="LN14" s="103"/>
      <c r="LO14" s="103"/>
      <c r="LP14" s="211" t="s">
        <v>25</v>
      </c>
      <c r="LQ14" s="211"/>
      <c r="LR14" s="211"/>
      <c r="LS14" s="211"/>
      <c r="LT14" s="128"/>
      <c r="LU14" s="128"/>
      <c r="LV14" s="210" t="s">
        <v>37</v>
      </c>
      <c r="LW14" s="210"/>
      <c r="LX14" s="210"/>
      <c r="LY14" s="210"/>
      <c r="LZ14" s="103"/>
      <c r="MA14" s="103"/>
      <c r="MB14" s="211" t="s">
        <v>26</v>
      </c>
      <c r="MC14" s="211"/>
      <c r="MD14" s="211"/>
      <c r="ME14" s="211"/>
      <c r="MF14" s="128"/>
      <c r="MG14" s="128"/>
      <c r="MH14" s="210" t="s">
        <v>38</v>
      </c>
      <c r="MI14" s="210"/>
      <c r="MJ14" s="210"/>
      <c r="MK14" s="210"/>
      <c r="ML14" s="103"/>
      <c r="MM14" s="103"/>
      <c r="MN14" s="211" t="s">
        <v>27</v>
      </c>
      <c r="MO14" s="211"/>
      <c r="MP14" s="211"/>
      <c r="MQ14" s="211"/>
      <c r="MR14" s="128"/>
      <c r="MS14" s="128"/>
      <c r="MT14" s="210" t="s">
        <v>39</v>
      </c>
      <c r="MU14" s="210"/>
      <c r="MV14" s="210"/>
      <c r="MW14" s="210"/>
      <c r="MX14" s="103"/>
      <c r="MY14" s="103"/>
      <c r="MZ14" s="103"/>
      <c r="NA14" s="104"/>
      <c r="NB14" s="102"/>
      <c r="NC14" s="103"/>
      <c r="ND14" s="103"/>
      <c r="NE14" s="103"/>
      <c r="NF14" s="210" t="s">
        <v>35</v>
      </c>
      <c r="NG14" s="210"/>
      <c r="NH14" s="210"/>
      <c r="NI14" s="210"/>
      <c r="NJ14" s="103"/>
      <c r="NK14" s="103"/>
      <c r="NL14" s="211" t="s">
        <v>24</v>
      </c>
      <c r="NM14" s="211"/>
      <c r="NN14" s="211"/>
      <c r="NO14" s="211"/>
      <c r="NP14" s="128"/>
      <c r="NQ14" s="128"/>
      <c r="NR14" s="210" t="s">
        <v>36</v>
      </c>
      <c r="NS14" s="210"/>
      <c r="NT14" s="210"/>
      <c r="NU14" s="210"/>
      <c r="NV14" s="103"/>
      <c r="NW14" s="103"/>
      <c r="NX14" s="211" t="s">
        <v>25</v>
      </c>
      <c r="NY14" s="211"/>
      <c r="NZ14" s="211"/>
      <c r="OA14" s="211"/>
      <c r="OB14" s="128"/>
      <c r="OC14" s="128"/>
      <c r="OD14" s="210" t="s">
        <v>37</v>
      </c>
      <c r="OE14" s="210"/>
      <c r="OF14" s="210"/>
      <c r="OG14" s="210"/>
      <c r="OH14" s="103"/>
      <c r="OI14" s="103"/>
      <c r="OJ14" s="211" t="s">
        <v>26</v>
      </c>
      <c r="OK14" s="211"/>
      <c r="OL14" s="211"/>
      <c r="OM14" s="211"/>
      <c r="ON14" s="128"/>
      <c r="OO14" s="128"/>
      <c r="OP14" s="210" t="s">
        <v>38</v>
      </c>
      <c r="OQ14" s="210"/>
      <c r="OR14" s="210"/>
      <c r="OS14" s="210"/>
      <c r="OT14" s="103"/>
      <c r="OU14" s="103"/>
      <c r="OV14" s="211" t="s">
        <v>27</v>
      </c>
      <c r="OW14" s="211"/>
      <c r="OX14" s="211"/>
      <c r="OY14" s="211"/>
      <c r="OZ14" s="128"/>
      <c r="PA14" s="128"/>
      <c r="PB14" s="210" t="s">
        <v>39</v>
      </c>
      <c r="PC14" s="210"/>
      <c r="PD14" s="210"/>
      <c r="PE14" s="210"/>
      <c r="PF14" s="103"/>
      <c r="PG14" s="103"/>
      <c r="PH14" s="103"/>
      <c r="PI14" s="104"/>
      <c r="PJ14" s="102"/>
      <c r="PK14" s="103"/>
      <c r="PL14" s="103"/>
      <c r="PM14" s="103"/>
      <c r="PN14" s="210" t="s">
        <v>35</v>
      </c>
      <c r="PO14" s="210"/>
      <c r="PP14" s="210"/>
      <c r="PQ14" s="210"/>
      <c r="PR14" s="103"/>
      <c r="PS14" s="103"/>
      <c r="PT14" s="211" t="s">
        <v>24</v>
      </c>
      <c r="PU14" s="211"/>
      <c r="PV14" s="211"/>
      <c r="PW14" s="211"/>
      <c r="PX14" s="128"/>
      <c r="PY14" s="128"/>
      <c r="PZ14" s="210" t="s">
        <v>36</v>
      </c>
      <c r="QA14" s="210"/>
      <c r="QB14" s="210"/>
      <c r="QC14" s="210"/>
      <c r="QD14" s="103"/>
      <c r="QE14" s="103"/>
      <c r="QF14" s="211" t="s">
        <v>25</v>
      </c>
      <c r="QG14" s="211"/>
      <c r="QH14" s="211"/>
      <c r="QI14" s="211"/>
      <c r="QJ14" s="128"/>
      <c r="QK14" s="128"/>
      <c r="QL14" s="210" t="s">
        <v>37</v>
      </c>
      <c r="QM14" s="210"/>
      <c r="QN14" s="210"/>
      <c r="QO14" s="210"/>
      <c r="QP14" s="103"/>
      <c r="QQ14" s="103"/>
      <c r="QR14" s="211" t="s">
        <v>26</v>
      </c>
      <c r="QS14" s="211"/>
      <c r="QT14" s="211"/>
      <c r="QU14" s="211"/>
      <c r="QV14" s="128"/>
      <c r="QW14" s="128"/>
      <c r="QX14" s="210" t="s">
        <v>38</v>
      </c>
      <c r="QY14" s="210"/>
      <c r="QZ14" s="210"/>
      <c r="RA14" s="210"/>
      <c r="RB14" s="103"/>
      <c r="RC14" s="103"/>
      <c r="RD14" s="211" t="s">
        <v>27</v>
      </c>
      <c r="RE14" s="211"/>
      <c r="RF14" s="211"/>
      <c r="RG14" s="211"/>
      <c r="RH14" s="128"/>
      <c r="RI14" s="128"/>
      <c r="RJ14" s="210" t="s">
        <v>39</v>
      </c>
      <c r="RK14" s="210"/>
      <c r="RL14" s="210"/>
      <c r="RM14" s="210"/>
      <c r="RN14" s="103"/>
      <c r="RO14" s="103"/>
      <c r="RP14" s="103"/>
      <c r="RQ14" s="104"/>
      <c r="RR14" s="102"/>
      <c r="RS14" s="103"/>
      <c r="RT14" s="103"/>
      <c r="RU14" s="103"/>
      <c r="RV14" s="210" t="s">
        <v>35</v>
      </c>
      <c r="RW14" s="210"/>
      <c r="RX14" s="210"/>
      <c r="RY14" s="210"/>
      <c r="RZ14" s="103"/>
      <c r="SA14" s="103"/>
      <c r="SB14" s="211" t="s">
        <v>24</v>
      </c>
      <c r="SC14" s="211"/>
      <c r="SD14" s="211"/>
      <c r="SE14" s="211"/>
      <c r="SF14" s="128"/>
      <c r="SG14" s="128"/>
      <c r="SH14" s="210" t="s">
        <v>36</v>
      </c>
      <c r="SI14" s="210"/>
      <c r="SJ14" s="210"/>
      <c r="SK14" s="210"/>
      <c r="SL14" s="103"/>
      <c r="SM14" s="103"/>
      <c r="SN14" s="211" t="s">
        <v>25</v>
      </c>
      <c r="SO14" s="211"/>
      <c r="SP14" s="211"/>
      <c r="SQ14" s="211"/>
      <c r="SR14" s="128"/>
      <c r="SS14" s="128"/>
      <c r="ST14" s="210" t="s">
        <v>37</v>
      </c>
      <c r="SU14" s="210"/>
      <c r="SV14" s="210"/>
      <c r="SW14" s="210"/>
      <c r="SX14" s="103"/>
      <c r="SY14" s="103"/>
      <c r="SZ14" s="211" t="s">
        <v>26</v>
      </c>
      <c r="TA14" s="211"/>
      <c r="TB14" s="211"/>
      <c r="TC14" s="211"/>
      <c r="TD14" s="128"/>
      <c r="TE14" s="128"/>
      <c r="TF14" s="210" t="s">
        <v>38</v>
      </c>
      <c r="TG14" s="210"/>
      <c r="TH14" s="210"/>
      <c r="TI14" s="210"/>
      <c r="TJ14" s="103"/>
      <c r="TK14" s="103"/>
      <c r="TL14" s="211" t="s">
        <v>27</v>
      </c>
      <c r="TM14" s="211"/>
      <c r="TN14" s="211"/>
      <c r="TO14" s="211"/>
      <c r="TP14" s="128"/>
      <c r="TQ14" s="128"/>
      <c r="TR14" s="210" t="s">
        <v>39</v>
      </c>
      <c r="TS14" s="210"/>
      <c r="TT14" s="210"/>
      <c r="TU14" s="210"/>
      <c r="TV14" s="103"/>
      <c r="TW14" s="103"/>
      <c r="TX14" s="103"/>
      <c r="TY14" s="104"/>
      <c r="TZ14" s="90"/>
    </row>
    <row r="15" spans="1:546" ht="20.100000000000001" customHeight="1" x14ac:dyDescent="0.25">
      <c r="A15" s="100" t="s">
        <v>20</v>
      </c>
      <c r="B15" s="63" t="str">
        <f>IF(LEN(C15)=0,"",C15)</f>
        <v xml:space="preserve">Absences - imprévus </v>
      </c>
      <c r="C15" s="216" t="s">
        <v>4</v>
      </c>
      <c r="D15" s="148" t="str">
        <f>setValueToTime(E15)</f>
        <v>2h35min</v>
      </c>
      <c r="E15" s="31">
        <v>31</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90"/>
    </row>
    <row r="16" spans="1:546" ht="20.100000000000001" customHeight="1" x14ac:dyDescent="0.25">
      <c r="A16" s="100" t="s">
        <v>21</v>
      </c>
      <c r="B16" s="63" t="str">
        <f>IF(LEN(C17)=0,"",C17)</f>
        <v>Analyse - Planification initiale</v>
      </c>
      <c r="C16" s="217"/>
      <c r="D16" s="146" t="str">
        <f t="shared" ref="D16:D34" si="0">setValueToTime(E16)</f>
        <v>5h10min</v>
      </c>
      <c r="E16" s="35">
        <v>62</v>
      </c>
      <c r="F16" s="187"/>
      <c r="G16" s="182"/>
      <c r="H16" s="182"/>
      <c r="I16" s="182"/>
      <c r="J16" s="183"/>
      <c r="K16" s="184"/>
      <c r="L16" s="183"/>
      <c r="M16" s="183"/>
      <c r="N16" s="183"/>
      <c r="O16" s="183"/>
      <c r="P16" s="183"/>
      <c r="Q16" s="188"/>
      <c r="R16" s="183"/>
      <c r="S16" s="183"/>
      <c r="T16" s="183"/>
      <c r="U16" s="183"/>
      <c r="V16" s="183"/>
      <c r="W16" s="189"/>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183"/>
      <c r="KY16" s="184"/>
      <c r="KZ16" s="183"/>
      <c r="LA16" s="183"/>
      <c r="LB16" s="183"/>
      <c r="LC16" s="183"/>
      <c r="LD16" s="183"/>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187"/>
      <c r="PK16" s="182"/>
      <c r="PL16" s="182"/>
      <c r="PM16" s="182"/>
      <c r="PN16" s="183"/>
      <c r="PO16" s="184"/>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90"/>
    </row>
    <row r="17" spans="1:546" ht="20.100000000000001" customHeight="1" x14ac:dyDescent="0.25">
      <c r="A17" s="100" t="s">
        <v>20</v>
      </c>
      <c r="B17" s="63" t="str">
        <f>IF(LEN(C19)=0,"",C19)</f>
        <v>Réalisation - Scraper</v>
      </c>
      <c r="C17" s="216" t="s">
        <v>32</v>
      </c>
      <c r="D17" s="145" t="str">
        <f t="shared" si="0"/>
        <v>3h45min</v>
      </c>
      <c r="E17" s="31">
        <v>45</v>
      </c>
      <c r="F17" s="173"/>
      <c r="G17" s="174"/>
      <c r="H17" s="174"/>
      <c r="I17" s="174"/>
      <c r="J17" s="171"/>
      <c r="K17" s="175"/>
      <c r="L17" s="171"/>
      <c r="M17" s="171"/>
      <c r="N17" s="33"/>
      <c r="O17" s="33"/>
      <c r="P17" s="33"/>
      <c r="Q17" s="136"/>
      <c r="R17" s="33"/>
      <c r="S17" s="33"/>
      <c r="T17" s="33"/>
      <c r="U17" s="33"/>
      <c r="V17" s="33"/>
      <c r="W17" s="74"/>
      <c r="X17" s="33"/>
      <c r="Y17" s="33"/>
      <c r="Z17" s="33"/>
      <c r="AA17" s="33"/>
      <c r="AB17" s="33"/>
      <c r="AC17" s="136"/>
      <c r="AD17" s="33"/>
      <c r="AE17" s="33"/>
      <c r="AF17" s="33"/>
      <c r="AG17" s="33"/>
      <c r="AH17" s="33"/>
      <c r="AI17" s="74"/>
      <c r="AJ17" s="64"/>
      <c r="AK17" s="64"/>
      <c r="AL17" s="64"/>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173"/>
      <c r="BO17" s="174"/>
      <c r="BP17" s="174"/>
      <c r="BQ17" s="174"/>
      <c r="BR17" s="171"/>
      <c r="BS17" s="175"/>
      <c r="BT17" s="33"/>
      <c r="BU17" s="33"/>
      <c r="BV17" s="33"/>
      <c r="BW17" s="33"/>
      <c r="BX17" s="33"/>
      <c r="BY17" s="136"/>
      <c r="BZ17" s="33"/>
      <c r="CA17" s="33"/>
      <c r="CB17" s="33"/>
      <c r="CC17" s="33"/>
      <c r="CD17" s="33"/>
      <c r="CE17" s="74"/>
      <c r="CF17" s="33"/>
      <c r="CG17" s="33"/>
      <c r="CH17" s="33"/>
      <c r="CI17" s="33"/>
      <c r="CJ17" s="33"/>
      <c r="CK17" s="136"/>
      <c r="CL17" s="33"/>
      <c r="CM17" s="33"/>
      <c r="CN17" s="33"/>
      <c r="CO17" s="33"/>
      <c r="CP17" s="33"/>
      <c r="CQ17" s="74"/>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36"/>
      <c r="LR17" s="33"/>
      <c r="LS17" s="33"/>
      <c r="LT17" s="33"/>
      <c r="LU17" s="33"/>
      <c r="LV17" s="33"/>
      <c r="LW17" s="74"/>
      <c r="LX17" s="64"/>
      <c r="LY17" s="64"/>
      <c r="LZ17" s="64"/>
      <c r="MA17" s="64"/>
      <c r="MB17" s="33"/>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90"/>
    </row>
    <row r="18" spans="1:546" ht="20.100000000000001" customHeight="1" x14ac:dyDescent="0.3">
      <c r="A18" s="100" t="s">
        <v>21</v>
      </c>
      <c r="B18" s="63" t="str">
        <f>IF(LEN(C21)=0,"",C21)</f>
        <v>Doc - Journal de travail</v>
      </c>
      <c r="C18" s="217"/>
      <c r="D18" s="147" t="str">
        <f t="shared" si="0"/>
        <v>3h35min</v>
      </c>
      <c r="E18" s="35">
        <v>43</v>
      </c>
      <c r="F18" s="36"/>
      <c r="G18" s="65"/>
      <c r="H18" s="65"/>
      <c r="I18" s="65"/>
      <c r="J18" s="37"/>
      <c r="K18" s="132"/>
      <c r="L18" s="37"/>
      <c r="M18" s="37"/>
      <c r="N18" s="37"/>
      <c r="O18" s="37"/>
      <c r="P18" s="37"/>
      <c r="Q18" s="137"/>
      <c r="R18" s="37"/>
      <c r="S18" s="37"/>
      <c r="T18" s="37"/>
      <c r="U18" s="37"/>
      <c r="V18" s="37"/>
      <c r="W18" s="75"/>
      <c r="X18" s="37"/>
      <c r="Y18" s="37"/>
      <c r="Z18" s="37"/>
      <c r="AA18" s="37"/>
      <c r="AB18" s="3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65"/>
      <c r="BQ18" s="65"/>
      <c r="BR18" s="37"/>
      <c r="BS18" s="132"/>
      <c r="BT18" s="37"/>
      <c r="BU18" s="37"/>
      <c r="BV18" s="37"/>
      <c r="BW18" s="37"/>
      <c r="BX18" s="180"/>
      <c r="BY18" s="185"/>
      <c r="BZ18" s="180"/>
      <c r="CA18" s="180"/>
      <c r="CB18" s="180"/>
      <c r="CC18" s="180"/>
      <c r="CD18" s="180"/>
      <c r="CE18" s="186"/>
      <c r="CF18" s="37"/>
      <c r="CG18" s="37"/>
      <c r="CH18" s="37"/>
      <c r="CI18" s="37"/>
      <c r="CJ18" s="37"/>
      <c r="CK18" s="137"/>
      <c r="CL18" s="3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179"/>
      <c r="DY18" s="179"/>
      <c r="DZ18" s="180"/>
      <c r="EA18" s="181"/>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36"/>
      <c r="IM18" s="65"/>
      <c r="IN18" s="65"/>
      <c r="IO18" s="65"/>
      <c r="IP18" s="37"/>
      <c r="IQ18" s="132"/>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90"/>
    </row>
    <row r="19" spans="1:546" ht="20.100000000000001" customHeight="1" x14ac:dyDescent="0.25">
      <c r="A19" s="100" t="s">
        <v>20</v>
      </c>
      <c r="B19" s="63" t="str">
        <f>IF(LEN(C23)=0,"",C23)</f>
        <v>Doc - Rapport</v>
      </c>
      <c r="C19" s="216" t="s">
        <v>53</v>
      </c>
      <c r="D19" s="145" t="str">
        <f t="shared" si="0"/>
        <v>5h10min</v>
      </c>
      <c r="E19" s="39">
        <v>62</v>
      </c>
      <c r="F19" s="40"/>
      <c r="G19" s="66"/>
      <c r="H19" s="66"/>
      <c r="I19" s="66"/>
      <c r="J19" s="41"/>
      <c r="K19" s="133"/>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69"/>
      <c r="IR19" s="168"/>
      <c r="IS19" s="168"/>
      <c r="IT19" s="168"/>
      <c r="IU19" s="168"/>
      <c r="IV19" s="168"/>
      <c r="IW19" s="170"/>
      <c r="IX19" s="168"/>
      <c r="IY19" s="168"/>
      <c r="IZ19" s="168"/>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168"/>
      <c r="LB19" s="168"/>
      <c r="LC19" s="168"/>
      <c r="LD19" s="168"/>
      <c r="LE19" s="170"/>
      <c r="LF19" s="168"/>
      <c r="LG19" s="168"/>
      <c r="LH19" s="168"/>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168"/>
      <c r="NG19" s="169"/>
      <c r="NH19" s="168"/>
      <c r="NI19" s="168"/>
      <c r="NJ19" s="168"/>
      <c r="NK19" s="168"/>
      <c r="NL19" s="168"/>
      <c r="NM19" s="170"/>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168"/>
      <c r="PR19" s="168"/>
      <c r="PS19" s="168"/>
      <c r="PT19" s="168"/>
      <c r="PU19" s="170"/>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90"/>
    </row>
    <row r="20" spans="1:546" ht="20.100000000000001" customHeight="1" x14ac:dyDescent="0.25">
      <c r="A20" s="100" t="s">
        <v>21</v>
      </c>
      <c r="B20" s="63" t="str">
        <f>IF(LEN(C25)=0,"",C25)</f>
        <v>Doc - Cahier des charges</v>
      </c>
      <c r="C20" s="222"/>
      <c r="D20" s="146" t="str">
        <f t="shared" si="0"/>
        <v>7h10min</v>
      </c>
      <c r="E20" s="27">
        <v>86</v>
      </c>
      <c r="F20" s="28"/>
      <c r="G20" s="67"/>
      <c r="H20" s="67"/>
      <c r="I20" s="67"/>
      <c r="J20" s="29"/>
      <c r="K20" s="130"/>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183"/>
      <c r="GQ20" s="183"/>
      <c r="GR20" s="183"/>
      <c r="GS20" s="183"/>
      <c r="GT20" s="183"/>
      <c r="GU20" s="186"/>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183"/>
      <c r="IW20" s="188"/>
      <c r="IX20" s="183"/>
      <c r="IY20" s="183"/>
      <c r="IZ20" s="183"/>
      <c r="JA20" s="183"/>
      <c r="JB20" s="183"/>
      <c r="JC20" s="186"/>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88"/>
      <c r="LF20" s="183"/>
      <c r="LG20" s="183"/>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187"/>
      <c r="NC20" s="182"/>
      <c r="ND20" s="182"/>
      <c r="NE20" s="182"/>
      <c r="NF20" s="183"/>
      <c r="NG20" s="184"/>
      <c r="NH20" s="183"/>
      <c r="NI20" s="183"/>
      <c r="NJ20" s="183"/>
      <c r="NK20" s="183"/>
      <c r="NL20" s="183"/>
      <c r="NM20" s="188"/>
      <c r="NN20" s="183"/>
      <c r="NO20" s="183"/>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183"/>
      <c r="PQ20" s="183"/>
      <c r="PR20" s="183"/>
      <c r="PS20" s="183"/>
      <c r="PT20" s="183"/>
      <c r="PU20" s="188"/>
      <c r="PV20" s="183"/>
      <c r="PW20" s="183"/>
      <c r="PX20" s="183"/>
      <c r="PY20" s="183"/>
      <c r="PZ20" s="183"/>
      <c r="QA20" s="186"/>
      <c r="QB20" s="183"/>
      <c r="QC20" s="183"/>
      <c r="QD20" s="183"/>
      <c r="QE20" s="183"/>
      <c r="QF20" s="183"/>
      <c r="QG20" s="188"/>
      <c r="QH20" s="183"/>
      <c r="QI20" s="183"/>
      <c r="QJ20" s="183"/>
      <c r="QK20" s="183"/>
      <c r="QL20" s="183"/>
      <c r="QM20" s="186"/>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90"/>
    </row>
    <row r="21" spans="1:546" ht="20.100000000000001" customHeight="1" x14ac:dyDescent="0.25">
      <c r="A21" s="100" t="s">
        <v>20</v>
      </c>
      <c r="B21" s="63" t="str">
        <f>IF(LEN(C27)=0,"",C27)</f>
        <v>Admin - Mise en place de l'environnement</v>
      </c>
      <c r="C21" s="216" t="s">
        <v>17</v>
      </c>
      <c r="D21" s="145" t="str">
        <f t="shared" si="0"/>
        <v>4h5min</v>
      </c>
      <c r="E21" s="31">
        <v>49</v>
      </c>
      <c r="F21" s="32"/>
      <c r="G21" s="64"/>
      <c r="H21" s="64"/>
      <c r="I21" s="64"/>
      <c r="J21" s="33"/>
      <c r="K21" s="131"/>
      <c r="L21" s="33"/>
      <c r="M21" s="33"/>
      <c r="N21" s="171"/>
      <c r="O21" s="171"/>
      <c r="P21" s="33"/>
      <c r="Q21" s="136"/>
      <c r="R21" s="33"/>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171"/>
      <c r="BU21" s="171"/>
      <c r="BV21" s="171"/>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171"/>
      <c r="EM21" s="172"/>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171"/>
      <c r="GT21" s="171"/>
      <c r="GU21" s="172"/>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171"/>
      <c r="JB21" s="171"/>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171"/>
      <c r="LJ21" s="171"/>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171"/>
      <c r="NO21" s="171"/>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171"/>
      <c r="PW21" s="171"/>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90"/>
    </row>
    <row r="22" spans="1:546" ht="20.100000000000001" customHeight="1" x14ac:dyDescent="0.25">
      <c r="A22" s="100" t="s">
        <v>21</v>
      </c>
      <c r="B22" s="63" t="str">
        <f>IF(LEN(C29)=0,"",C29)</f>
        <v>Admin - Back-up</v>
      </c>
      <c r="C22" s="222"/>
      <c r="D22" s="146" t="str">
        <f t="shared" si="0"/>
        <v>3h55min</v>
      </c>
      <c r="E22" s="35">
        <v>47</v>
      </c>
      <c r="F22" s="36"/>
      <c r="G22" s="65"/>
      <c r="H22" s="65"/>
      <c r="I22" s="65"/>
      <c r="J22" s="37"/>
      <c r="K22" s="132"/>
      <c r="L22" s="37"/>
      <c r="M22" s="37"/>
      <c r="N22" s="37"/>
      <c r="O22" s="37"/>
      <c r="P22" s="37"/>
      <c r="Q22" s="137"/>
      <c r="R22" s="3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178"/>
      <c r="BO22" s="179"/>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178"/>
      <c r="DW22" s="179"/>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180"/>
      <c r="GO22" s="185"/>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178"/>
      <c r="IM22" s="179"/>
      <c r="IN22" s="179"/>
      <c r="IO22" s="179"/>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178"/>
      <c r="KU22" s="179"/>
      <c r="KV22" s="179"/>
      <c r="KW22" s="179"/>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180"/>
      <c r="NQ22" s="180"/>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90"/>
    </row>
    <row r="23" spans="1:546" ht="20.100000000000001" customHeight="1" x14ac:dyDescent="0.25">
      <c r="A23" s="100" t="s">
        <v>20</v>
      </c>
      <c r="B23" s="63" t="str">
        <f>IF(LEN(C31)=0,"",C31)</f>
        <v>Admin - Formation Python</v>
      </c>
      <c r="C23" s="216" t="s">
        <v>16</v>
      </c>
      <c r="D23" s="145" t="str">
        <f t="shared" si="0"/>
        <v>4h5min</v>
      </c>
      <c r="E23" s="39">
        <v>49</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41"/>
      <c r="DI23" s="13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41"/>
      <c r="FG23" s="41"/>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41"/>
      <c r="HO23" s="41"/>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38"/>
      <c r="JV23" s="41"/>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166"/>
      <c r="KU23" s="167"/>
      <c r="KV23" s="167"/>
      <c r="KW23" s="167"/>
      <c r="KX23" s="168"/>
      <c r="KY23" s="169"/>
      <c r="KZ23" s="168"/>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38"/>
      <c r="MD23" s="41"/>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166"/>
      <c r="NC23" s="167"/>
      <c r="ND23" s="167"/>
      <c r="NE23" s="167"/>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41"/>
      <c r="OW23" s="138"/>
      <c r="OX23" s="41"/>
      <c r="OY23" s="41"/>
      <c r="OZ23" s="41"/>
      <c r="PA23" s="41"/>
      <c r="PB23" s="41"/>
      <c r="PC23" s="76"/>
      <c r="PD23" s="41"/>
      <c r="PE23" s="41"/>
      <c r="PF23" s="41"/>
      <c r="PG23" s="41"/>
      <c r="PH23" s="41"/>
      <c r="PI23" s="42"/>
      <c r="PJ23" s="166"/>
      <c r="PK23" s="167"/>
      <c r="PL23" s="167"/>
      <c r="PM23" s="167"/>
      <c r="PN23" s="168"/>
      <c r="PO23" s="169"/>
      <c r="PP23" s="168"/>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38"/>
      <c r="QT23" s="41"/>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38"/>
      <c r="TB23" s="41"/>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90"/>
    </row>
    <row r="24" spans="1:546" ht="20.100000000000001" customHeight="1" x14ac:dyDescent="0.25">
      <c r="A24" s="100" t="s">
        <v>21</v>
      </c>
      <c r="B24" s="63" t="str">
        <f>IF(LEN(C33)=0,"",C33)</f>
        <v>Tests</v>
      </c>
      <c r="C24" s="222"/>
      <c r="D24" s="146" t="str">
        <f t="shared" si="0"/>
        <v>2h35min</v>
      </c>
      <c r="E24" s="27">
        <v>31</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73"/>
      <c r="CR24" s="67"/>
      <c r="CS24" s="67"/>
      <c r="CT24" s="67"/>
      <c r="CU24" s="67"/>
      <c r="CV24" s="29"/>
      <c r="CW24" s="135"/>
      <c r="CX24" s="29"/>
      <c r="CY24" s="29"/>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67"/>
      <c r="FC24" s="67"/>
      <c r="FD24" s="29"/>
      <c r="FE24" s="135"/>
      <c r="FF24" s="29"/>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29"/>
      <c r="HO24" s="29"/>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29"/>
      <c r="JU24" s="135"/>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29"/>
      <c r="TD24" s="29"/>
      <c r="TE24" s="29"/>
      <c r="TF24" s="29"/>
      <c r="TG24" s="73"/>
      <c r="TH24" s="29"/>
      <c r="TI24" s="29"/>
      <c r="TJ24" s="29"/>
      <c r="TK24" s="29"/>
      <c r="TL24" s="29"/>
      <c r="TM24" s="135"/>
      <c r="TN24" s="29"/>
      <c r="TO24" s="29"/>
      <c r="TP24" s="29"/>
      <c r="TQ24" s="29"/>
      <c r="TR24" s="29"/>
      <c r="TS24" s="73"/>
      <c r="TT24" s="29"/>
      <c r="TU24" s="29"/>
      <c r="TV24" s="29"/>
      <c r="TW24" s="29"/>
      <c r="TX24" s="29"/>
      <c r="TY24" s="30"/>
      <c r="TZ24" s="90"/>
    </row>
    <row r="25" spans="1:546" ht="20.100000000000001" customHeight="1" x14ac:dyDescent="0.25">
      <c r="A25" s="100" t="s">
        <v>20</v>
      </c>
      <c r="B25" s="63" t="e">
        <f>IF(LEN(#REF!)=0,"",#REF!)</f>
        <v>#REF!</v>
      </c>
      <c r="C25" s="216" t="s">
        <v>50</v>
      </c>
      <c r="D25" s="145" t="str">
        <f t="shared" si="0"/>
        <v>4h</v>
      </c>
      <c r="E25" s="31">
        <v>48</v>
      </c>
      <c r="F25" s="32"/>
      <c r="G25" s="64"/>
      <c r="H25" s="64"/>
      <c r="I25" s="64"/>
      <c r="J25" s="33"/>
      <c r="K25" s="131"/>
      <c r="L25" s="33"/>
      <c r="M25" s="33"/>
      <c r="N25" s="33"/>
      <c r="O25" s="33"/>
      <c r="P25" s="171"/>
      <c r="Q25" s="176"/>
      <c r="R25" s="171"/>
      <c r="S25" s="171"/>
      <c r="T25" s="171"/>
      <c r="U25" s="171"/>
      <c r="V25" s="171"/>
      <c r="W25" s="172"/>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171"/>
      <c r="BX25" s="171"/>
      <c r="BY25" s="176"/>
      <c r="BZ25" s="171"/>
      <c r="CA25" s="171"/>
      <c r="CB25" s="171"/>
      <c r="CC25" s="171"/>
      <c r="CD25" s="171"/>
      <c r="CE25" s="172"/>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32"/>
      <c r="NC25" s="64"/>
      <c r="ND25" s="64"/>
      <c r="NE25" s="64"/>
      <c r="NF25" s="33"/>
      <c r="NG25" s="131"/>
      <c r="NH25" s="33"/>
      <c r="NI25" s="33"/>
      <c r="NJ25" s="33"/>
      <c r="NK25" s="33"/>
      <c r="NL25" s="33"/>
      <c r="NM25" s="136"/>
      <c r="NN25" s="33"/>
      <c r="NO25" s="33"/>
      <c r="NP25" s="33"/>
      <c r="NQ25" s="33"/>
      <c r="NR25" s="33"/>
      <c r="NS25" s="74"/>
      <c r="NT25" s="33"/>
      <c r="NU25" s="33"/>
      <c r="NV25" s="33"/>
      <c r="NW25" s="33"/>
      <c r="NX25" s="33"/>
      <c r="NY25" s="136"/>
      <c r="NZ25" s="33"/>
      <c r="OA25" s="33"/>
      <c r="OB25" s="33"/>
      <c r="OC25" s="33"/>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33"/>
      <c r="SR25" s="33"/>
      <c r="SS25" s="33"/>
      <c r="ST25" s="33"/>
      <c r="SU25" s="74"/>
      <c r="SV25" s="64"/>
      <c r="SW25" s="64"/>
      <c r="SX25" s="64"/>
      <c r="SY25" s="64"/>
      <c r="SZ25" s="33"/>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90"/>
    </row>
    <row r="26" spans="1:546" ht="20.100000000000001" customHeight="1" x14ac:dyDescent="0.3">
      <c r="A26" s="100" t="s">
        <v>21</v>
      </c>
      <c r="B26" s="63" t="e">
        <f>IF(LEN(#REF!)=0,"",#REF!)</f>
        <v>#REF!</v>
      </c>
      <c r="C26" s="217"/>
      <c r="D26" s="147" t="str">
        <f t="shared" si="0"/>
        <v>3h10min</v>
      </c>
      <c r="E26" s="35">
        <v>38</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180"/>
      <c r="BU26" s="180"/>
      <c r="BV26" s="180"/>
      <c r="BW26" s="180"/>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180"/>
      <c r="EC26" s="180"/>
      <c r="ED26" s="180"/>
      <c r="EE26" s="37"/>
      <c r="EF26" s="37"/>
      <c r="EG26" s="137"/>
      <c r="EH26" s="37"/>
      <c r="EI26" s="37"/>
      <c r="EJ26" s="37"/>
      <c r="EK26" s="37"/>
      <c r="EL26" s="37"/>
      <c r="EM26" s="75"/>
      <c r="EN26" s="37"/>
      <c r="EO26" s="37"/>
      <c r="EP26" s="37"/>
      <c r="EQ26" s="37"/>
      <c r="ER26" s="37"/>
      <c r="ES26" s="137"/>
      <c r="ET26" s="37"/>
      <c r="EU26" s="37"/>
      <c r="EV26" s="37"/>
      <c r="EW26" s="37"/>
      <c r="EX26" s="37"/>
      <c r="EY26" s="75"/>
      <c r="EZ26" s="65"/>
      <c r="FA26" s="65"/>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37"/>
      <c r="IS26" s="37"/>
      <c r="IT26" s="37"/>
      <c r="IU26" s="37"/>
      <c r="IV26" s="37"/>
      <c r="IW26" s="137"/>
      <c r="IX26" s="37"/>
      <c r="IY26" s="37"/>
      <c r="IZ26" s="37"/>
      <c r="JA26" s="37"/>
      <c r="JB26" s="37"/>
      <c r="JC26" s="75"/>
      <c r="JD26" s="37"/>
      <c r="JE26" s="3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90"/>
    </row>
    <row r="27" spans="1:546" ht="20.100000000000001" customHeight="1" x14ac:dyDescent="0.25">
      <c r="A27" s="100" t="s">
        <v>20</v>
      </c>
      <c r="B27" s="63" t="e">
        <f>IF(LEN(#REF!)=0,"",#REF!)</f>
        <v>#REF!</v>
      </c>
      <c r="C27" s="216" t="s">
        <v>51</v>
      </c>
      <c r="D27" s="145" t="str">
        <f t="shared" si="0"/>
        <v>4h25min</v>
      </c>
      <c r="E27" s="39">
        <v>53</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166"/>
      <c r="DW27" s="167"/>
      <c r="DX27" s="167"/>
      <c r="DY27" s="167"/>
      <c r="DZ27" s="168"/>
      <c r="EA27" s="169"/>
      <c r="EB27" s="168"/>
      <c r="EC27" s="168"/>
      <c r="ED27" s="168"/>
      <c r="EE27" s="168"/>
      <c r="EF27" s="168"/>
      <c r="EG27" s="170"/>
      <c r="EH27" s="168"/>
      <c r="EI27" s="168"/>
      <c r="EJ27" s="168"/>
      <c r="EK27" s="168"/>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168"/>
      <c r="GN27" s="168"/>
      <c r="GO27" s="170"/>
      <c r="GP27" s="168"/>
      <c r="GQ27" s="168"/>
      <c r="GR27" s="168"/>
      <c r="GS27" s="41"/>
      <c r="GT27" s="41"/>
      <c r="GU27" s="76"/>
      <c r="GV27" s="41"/>
      <c r="GW27" s="41"/>
      <c r="GX27" s="41"/>
      <c r="GY27" s="41"/>
      <c r="GZ27" s="41"/>
      <c r="HA27" s="138"/>
      <c r="HB27" s="41"/>
      <c r="HC27" s="41"/>
      <c r="HD27" s="41"/>
      <c r="HE27" s="41"/>
      <c r="HF27" s="41"/>
      <c r="HG27" s="76"/>
      <c r="HH27" s="66"/>
      <c r="HI27" s="66"/>
      <c r="HJ27" s="66"/>
      <c r="HK27" s="66"/>
      <c r="HL27" s="41"/>
      <c r="HM27" s="13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40"/>
      <c r="IM27" s="66"/>
      <c r="IN27" s="66"/>
      <c r="IO27" s="66"/>
      <c r="IP27" s="41"/>
      <c r="IQ27" s="133"/>
      <c r="IR27" s="41"/>
      <c r="IS27" s="41"/>
      <c r="IT27" s="41"/>
      <c r="IU27" s="41"/>
      <c r="IV27" s="41"/>
      <c r="IW27" s="138"/>
      <c r="IX27" s="41"/>
      <c r="IY27" s="41"/>
      <c r="IZ27" s="41"/>
      <c r="JA27" s="41"/>
      <c r="JB27" s="41"/>
      <c r="JC27" s="76"/>
      <c r="JD27" s="41"/>
      <c r="JE27" s="41"/>
      <c r="JF27" s="41"/>
      <c r="JG27" s="41"/>
      <c r="JH27" s="41"/>
      <c r="JI27" s="138"/>
      <c r="JJ27" s="41"/>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40"/>
      <c r="KU27" s="66"/>
      <c r="KV27" s="66"/>
      <c r="KW27" s="66"/>
      <c r="KX27" s="41"/>
      <c r="KY27" s="133"/>
      <c r="KZ27" s="41"/>
      <c r="LA27" s="41"/>
      <c r="LB27" s="41"/>
      <c r="LC27" s="41"/>
      <c r="LD27" s="41"/>
      <c r="LE27" s="138"/>
      <c r="LF27" s="41"/>
      <c r="LG27" s="41"/>
      <c r="LH27" s="41"/>
      <c r="LI27" s="41"/>
      <c r="LJ27" s="41"/>
      <c r="LK27" s="76"/>
      <c r="LL27" s="41"/>
      <c r="LM27" s="41"/>
      <c r="LN27" s="41"/>
      <c r="LO27" s="41"/>
      <c r="LP27" s="41"/>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90"/>
    </row>
    <row r="28" spans="1:546" ht="20.100000000000001" customHeight="1" x14ac:dyDescent="0.3">
      <c r="A28" s="100" t="s">
        <v>21</v>
      </c>
      <c r="B28" s="63" t="e">
        <f>IF(LEN(#REF!)=0,"",#REF!)</f>
        <v>#REF!</v>
      </c>
      <c r="C28" s="217"/>
      <c r="D28" s="147" t="str">
        <f t="shared" si="0"/>
        <v>3h30min</v>
      </c>
      <c r="E28" s="27">
        <v>42</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182"/>
      <c r="BQ28" s="182"/>
      <c r="BR28" s="183"/>
      <c r="BS28" s="184"/>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183"/>
      <c r="GL28" s="183"/>
      <c r="GM28" s="183"/>
      <c r="GN28" s="29"/>
      <c r="GO28" s="135"/>
      <c r="GP28" s="29"/>
      <c r="GQ28" s="29"/>
      <c r="GR28" s="29"/>
      <c r="GS28" s="29"/>
      <c r="GT28" s="29"/>
      <c r="GU28" s="73"/>
      <c r="GV28" s="29"/>
      <c r="GW28" s="29"/>
      <c r="GX28" s="29"/>
      <c r="GY28" s="29"/>
      <c r="GZ28" s="29"/>
      <c r="HA28" s="135"/>
      <c r="HB28" s="29"/>
      <c r="HC28" s="29"/>
      <c r="HD28" s="29"/>
      <c r="HE28" s="29"/>
      <c r="HF28" s="29"/>
      <c r="HG28" s="73"/>
      <c r="HH28" s="67"/>
      <c r="HI28" s="67"/>
      <c r="HJ28" s="67"/>
      <c r="HK28" s="67"/>
      <c r="HL28" s="29"/>
      <c r="HM28" s="135"/>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29"/>
      <c r="JL28" s="29"/>
      <c r="JM28" s="29"/>
      <c r="JN28" s="29"/>
      <c r="JO28" s="73"/>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182"/>
      <c r="QO28" s="182"/>
      <c r="QP28" s="182"/>
      <c r="QQ28" s="182"/>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90"/>
    </row>
    <row r="29" spans="1:546" ht="20.100000000000001" customHeight="1" x14ac:dyDescent="0.25">
      <c r="A29" s="100" t="s">
        <v>20</v>
      </c>
      <c r="B29" s="63" t="e">
        <f>IF(LEN(#REF!)=0,"",#REF!)</f>
        <v>#REF!</v>
      </c>
      <c r="C29" s="216" t="s">
        <v>52</v>
      </c>
      <c r="D29" s="145" t="str">
        <f t="shared" si="0"/>
        <v>2h55min</v>
      </c>
      <c r="E29" s="31">
        <v>35</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33"/>
      <c r="EQ29" s="33"/>
      <c r="ER29" s="33"/>
      <c r="ES29" s="136"/>
      <c r="ET29" s="33"/>
      <c r="EU29" s="33"/>
      <c r="EV29" s="33"/>
      <c r="EW29" s="33"/>
      <c r="EX29" s="33"/>
      <c r="EY29" s="74"/>
      <c r="EZ29" s="64"/>
      <c r="FA29" s="64"/>
      <c r="FB29" s="64"/>
      <c r="FC29" s="64"/>
      <c r="FD29" s="33"/>
      <c r="FE29" s="136"/>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33"/>
      <c r="GQ29" s="33"/>
      <c r="GR29" s="33"/>
      <c r="GS29" s="33"/>
      <c r="GT29" s="33"/>
      <c r="GU29" s="74"/>
      <c r="GV29" s="33"/>
      <c r="GW29" s="33"/>
      <c r="GX29" s="33"/>
      <c r="GY29" s="33"/>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172"/>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172"/>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171"/>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171"/>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90"/>
    </row>
    <row r="30" spans="1:546" ht="20.100000000000001" customHeight="1" x14ac:dyDescent="0.3">
      <c r="A30" s="100" t="s">
        <v>21</v>
      </c>
      <c r="B30" s="63" t="e">
        <f>IF(LEN(#REF!)=0,"",#REF!)</f>
        <v>#REF!</v>
      </c>
      <c r="C30" s="217"/>
      <c r="D30" s="147" t="str">
        <f t="shared" si="0"/>
        <v>2h40min</v>
      </c>
      <c r="E30" s="35">
        <v>32</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180"/>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37"/>
      <c r="GQ30" s="37"/>
      <c r="GR30" s="37"/>
      <c r="GS30" s="37"/>
      <c r="GT30" s="37"/>
      <c r="GU30" s="75"/>
      <c r="GV30" s="37"/>
      <c r="GW30" s="37"/>
      <c r="GX30" s="37"/>
      <c r="GY30" s="3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37"/>
      <c r="JG30" s="37"/>
      <c r="JH30" s="37"/>
      <c r="JI30" s="137"/>
      <c r="JJ30" s="3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90"/>
    </row>
    <row r="31" spans="1:546" ht="20.100000000000001" customHeight="1" x14ac:dyDescent="0.25">
      <c r="A31" s="100" t="s">
        <v>20</v>
      </c>
      <c r="B31" s="63" t="e">
        <f>IF(LEN(#REF!)=0,"",#REF!)</f>
        <v>#REF!</v>
      </c>
      <c r="C31" s="216" t="s">
        <v>54</v>
      </c>
      <c r="D31" s="145" t="str">
        <f t="shared" si="0"/>
        <v>3h45min</v>
      </c>
      <c r="E31" s="39">
        <v>45</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66"/>
      <c r="CS31" s="66"/>
      <c r="CT31" s="66"/>
      <c r="CU31" s="66"/>
      <c r="CV31" s="41"/>
      <c r="CW31" s="138"/>
      <c r="CX31" s="41"/>
      <c r="CY31" s="41"/>
      <c r="CZ31" s="41"/>
      <c r="DA31" s="41"/>
      <c r="DB31" s="41"/>
      <c r="DC31" s="76"/>
      <c r="DD31" s="41"/>
      <c r="DE31" s="41"/>
      <c r="DF31" s="41"/>
      <c r="DG31" s="41"/>
      <c r="DH31" s="41"/>
      <c r="DI31" s="138"/>
      <c r="DJ31" s="41"/>
      <c r="DK31" s="41"/>
      <c r="DL31" s="41"/>
      <c r="DM31" s="41"/>
      <c r="DN31" s="41"/>
      <c r="DO31" s="76"/>
      <c r="DP31" s="41"/>
      <c r="DQ31" s="41"/>
      <c r="DR31" s="41"/>
      <c r="DS31" s="41"/>
      <c r="DT31" s="41"/>
      <c r="DU31" s="42"/>
      <c r="DV31" s="40"/>
      <c r="DW31" s="66"/>
      <c r="DX31" s="66"/>
      <c r="DY31" s="66"/>
      <c r="DZ31" s="41"/>
      <c r="EA31" s="133"/>
      <c r="EB31" s="41"/>
      <c r="EC31" s="41"/>
      <c r="ED31" s="41"/>
      <c r="EE31" s="41"/>
      <c r="EF31" s="41"/>
      <c r="EG31" s="138"/>
      <c r="EH31" s="41"/>
      <c r="EI31" s="41"/>
      <c r="EJ31" s="41"/>
      <c r="EK31" s="41"/>
      <c r="EL31" s="41"/>
      <c r="EM31" s="76"/>
      <c r="EN31" s="41"/>
      <c r="EO31" s="41"/>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66"/>
      <c r="GE31" s="167"/>
      <c r="GF31" s="167"/>
      <c r="GG31" s="167"/>
      <c r="GH31" s="168"/>
      <c r="GI31" s="169"/>
      <c r="GJ31" s="168"/>
      <c r="GK31" s="168"/>
      <c r="GL31" s="168"/>
      <c r="GM31" s="41"/>
      <c r="GN31" s="41"/>
      <c r="GO31" s="13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166"/>
      <c r="IM31" s="167"/>
      <c r="IN31" s="167"/>
      <c r="IO31" s="167"/>
      <c r="IP31" s="168"/>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90"/>
    </row>
    <row r="32" spans="1:546" ht="20.100000000000001" customHeight="1" x14ac:dyDescent="0.3">
      <c r="A32" s="100" t="s">
        <v>21</v>
      </c>
      <c r="B32" s="63" t="e">
        <f>IF(LEN(#REF!)=0,"",#REF!)</f>
        <v>#REF!</v>
      </c>
      <c r="C32" s="217"/>
      <c r="D32" s="147" t="str">
        <f t="shared" si="0"/>
        <v>4h50min</v>
      </c>
      <c r="E32" s="27">
        <v>58</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67"/>
      <c r="CT32" s="67"/>
      <c r="CU32" s="67"/>
      <c r="CV32" s="29"/>
      <c r="CW32" s="135"/>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28"/>
      <c r="DW32" s="67"/>
      <c r="DX32" s="67"/>
      <c r="DY32" s="67"/>
      <c r="DZ32" s="29"/>
      <c r="EA32" s="130"/>
      <c r="EB32" s="29"/>
      <c r="EC32" s="29"/>
      <c r="ED32" s="29"/>
      <c r="EE32" s="29"/>
      <c r="EF32" s="183"/>
      <c r="EG32" s="188"/>
      <c r="EH32" s="183"/>
      <c r="EI32" s="183"/>
      <c r="EJ32" s="183"/>
      <c r="EK32" s="183"/>
      <c r="EL32" s="183"/>
      <c r="EM32" s="189"/>
      <c r="EN32" s="29"/>
      <c r="EO32" s="29"/>
      <c r="EP32" s="29"/>
      <c r="EQ32" s="29"/>
      <c r="ER32" s="29"/>
      <c r="ES32" s="135"/>
      <c r="ET32" s="29"/>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7"/>
      <c r="GE32" s="182"/>
      <c r="GF32" s="182"/>
      <c r="GG32" s="182"/>
      <c r="GH32" s="183"/>
      <c r="GI32" s="184"/>
      <c r="GJ32" s="183"/>
      <c r="GK32" s="29"/>
      <c r="GL32" s="29"/>
      <c r="GM32" s="29"/>
      <c r="GN32" s="29"/>
      <c r="GO32" s="135"/>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183"/>
      <c r="IQ32" s="184"/>
      <c r="IR32" s="183"/>
      <c r="IS32" s="183"/>
      <c r="IT32" s="183"/>
      <c r="IU32" s="183"/>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183"/>
      <c r="LI32" s="183"/>
      <c r="LJ32" s="183"/>
      <c r="LK32" s="189"/>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183"/>
      <c r="NS32" s="189"/>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90"/>
    </row>
    <row r="33" spans="1:546" ht="20.100000000000001" customHeight="1" x14ac:dyDescent="0.25">
      <c r="A33" s="100" t="s">
        <v>20</v>
      </c>
      <c r="B33" s="63" t="e">
        <f>IF(LEN(#REF!)=0,"",#REF!)</f>
        <v>#REF!</v>
      </c>
      <c r="C33" s="216" t="s">
        <v>65</v>
      </c>
      <c r="D33" s="145" t="str">
        <f t="shared" si="0"/>
        <v>3h5min</v>
      </c>
      <c r="E33" s="31">
        <v>37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64"/>
      <c r="AN33" s="33"/>
      <c r="AO33" s="136"/>
      <c r="AP33" s="33"/>
      <c r="AQ33" s="33"/>
      <c r="AR33" s="33"/>
      <c r="AS33" s="33"/>
      <c r="AT33" s="33"/>
      <c r="AU33" s="74"/>
      <c r="AV33" s="33"/>
      <c r="AW33" s="33"/>
      <c r="AX33" s="33"/>
      <c r="AY33" s="33"/>
      <c r="AZ33" s="33"/>
      <c r="BA33" s="136"/>
      <c r="BB33" s="33"/>
      <c r="BC33" s="33"/>
      <c r="BD33" s="33"/>
      <c r="BE33" s="33"/>
      <c r="BF33" s="33"/>
      <c r="BG33" s="74"/>
      <c r="BH33" s="33"/>
      <c r="BI33" s="33"/>
      <c r="BJ33" s="33"/>
      <c r="BK33" s="33"/>
      <c r="BL33" s="33"/>
      <c r="BM33" s="34"/>
      <c r="BN33" s="32"/>
      <c r="BO33" s="64"/>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171"/>
      <c r="NR33" s="171"/>
      <c r="NS33" s="172"/>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171"/>
      <c r="PZ33" s="171"/>
      <c r="QA33" s="172"/>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90"/>
    </row>
    <row r="34" spans="1:546" ht="20.100000000000001" customHeight="1" x14ac:dyDescent="0.3">
      <c r="A34" s="100" t="s">
        <v>21</v>
      </c>
      <c r="B34" s="63" t="e">
        <f>IF(LEN(#REF!)=0,"",#REF!)</f>
        <v>#REF!</v>
      </c>
      <c r="C34" s="217"/>
      <c r="D34" s="147" t="str">
        <f t="shared" si="0"/>
        <v>2h35min</v>
      </c>
      <c r="E34" s="35">
        <v>31</v>
      </c>
      <c r="F34" s="36"/>
      <c r="G34" s="65"/>
      <c r="H34" s="65"/>
      <c r="I34" s="65"/>
      <c r="J34" s="37"/>
      <c r="K34" s="132"/>
      <c r="L34" s="37"/>
      <c r="M34" s="37"/>
      <c r="N34" s="37"/>
      <c r="O34" s="37"/>
      <c r="P34" s="37"/>
      <c r="Q34" s="137"/>
      <c r="R34" s="37"/>
      <c r="S34" s="37"/>
      <c r="T34" s="37"/>
      <c r="U34" s="37"/>
      <c r="V34" s="37"/>
      <c r="W34" s="75"/>
      <c r="X34" s="37"/>
      <c r="Y34" s="37"/>
      <c r="Z34" s="37"/>
      <c r="AA34" s="37"/>
      <c r="AB34" s="37"/>
      <c r="AC34" s="137"/>
      <c r="AD34" s="37"/>
      <c r="AE34" s="37"/>
      <c r="AF34" s="37"/>
      <c r="AG34" s="37"/>
      <c r="AH34" s="37"/>
      <c r="AI34" s="75"/>
      <c r="AJ34" s="65"/>
      <c r="AK34" s="65"/>
      <c r="AL34" s="65"/>
      <c r="AM34" s="65"/>
      <c r="AN34" s="37"/>
      <c r="AO34" s="137"/>
      <c r="AP34" s="37"/>
      <c r="AQ34" s="37"/>
      <c r="AR34" s="37"/>
      <c r="AS34" s="37"/>
      <c r="AT34" s="37"/>
      <c r="AU34" s="75"/>
      <c r="AV34" s="37"/>
      <c r="AW34" s="37"/>
      <c r="AX34" s="37"/>
      <c r="AY34" s="37"/>
      <c r="AZ34" s="37"/>
      <c r="BA34" s="137"/>
      <c r="BB34" s="37"/>
      <c r="BC34" s="37"/>
      <c r="BD34" s="37"/>
      <c r="BE34" s="37"/>
      <c r="BF34" s="37"/>
      <c r="BG34" s="75"/>
      <c r="BH34" s="37"/>
      <c r="BI34" s="37"/>
      <c r="BJ34" s="37"/>
      <c r="BK34" s="37"/>
      <c r="BL34" s="37"/>
      <c r="BM34" s="38"/>
      <c r="BN34" s="36"/>
      <c r="BO34" s="65"/>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90"/>
    </row>
    <row r="35" spans="1:546" ht="20.100000000000001" customHeight="1" x14ac:dyDescent="0.25">
      <c r="B35" s="96"/>
      <c r="C35" s="212" t="s">
        <v>9</v>
      </c>
      <c r="D35" s="213"/>
      <c r="E35" s="116">
        <f>SUM(E15,E17,E19,E21,E23,E25,E27,E29,E31,E33)</f>
        <v>454</v>
      </c>
      <c r="F35" s="70"/>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85"/>
      <c r="BN35" s="70"/>
      <c r="BO35" s="69"/>
      <c r="BP35" s="69"/>
      <c r="BQ35" s="69"/>
      <c r="BR35" s="69"/>
      <c r="BS35" s="69"/>
      <c r="BT35" s="69"/>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c r="DA35" s="69"/>
      <c r="DB35" s="69"/>
      <c r="DC35" s="69"/>
      <c r="DD35" s="69"/>
      <c r="DE35" s="69"/>
      <c r="DF35" s="69"/>
      <c r="DG35" s="69"/>
      <c r="DH35" s="69"/>
      <c r="DI35" s="69"/>
      <c r="DJ35" s="69"/>
      <c r="DK35" s="69"/>
      <c r="DL35" s="69"/>
      <c r="DM35" s="69"/>
      <c r="DN35" s="69"/>
      <c r="DO35" s="69"/>
      <c r="DP35" s="69"/>
      <c r="DQ35" s="69"/>
      <c r="DR35" s="69"/>
      <c r="DS35" s="69"/>
      <c r="DT35" s="69"/>
      <c r="DU35" s="85"/>
      <c r="DV35" s="70"/>
      <c r="DW35" s="69"/>
      <c r="DX35" s="69"/>
      <c r="DY35" s="69"/>
      <c r="DZ35" s="69"/>
      <c r="EA35" s="69"/>
      <c r="EB35" s="69"/>
      <c r="EC35" s="69"/>
      <c r="ED35" s="69"/>
      <c r="EE35" s="69"/>
      <c r="EF35" s="69"/>
      <c r="EG35" s="69"/>
      <c r="EH35" s="69"/>
      <c r="EI35" s="69"/>
      <c r="EJ35" s="69"/>
      <c r="EK35" s="69"/>
      <c r="EL35" s="69"/>
      <c r="EM35" s="69"/>
      <c r="EN35" s="69"/>
      <c r="EO35" s="69"/>
      <c r="EP35" s="69"/>
      <c r="EQ35" s="69"/>
      <c r="ER35" s="69"/>
      <c r="ES35" s="69"/>
      <c r="ET35" s="69"/>
      <c r="EU35" s="69"/>
      <c r="EV35" s="69"/>
      <c r="EW35" s="69"/>
      <c r="EX35" s="69"/>
      <c r="EY35" s="69"/>
      <c r="EZ35" s="69"/>
      <c r="FA35" s="69"/>
      <c r="FB35" s="69"/>
      <c r="FC35" s="69"/>
      <c r="FD35" s="69"/>
      <c r="FE35" s="69"/>
      <c r="FF35" s="69"/>
      <c r="FG35" s="69"/>
      <c r="FH35" s="69"/>
      <c r="FI35" s="69"/>
      <c r="FJ35" s="69"/>
      <c r="FK35" s="69"/>
      <c r="FL35" s="69"/>
      <c r="FM35" s="69"/>
      <c r="FN35" s="69"/>
      <c r="FO35" s="69"/>
      <c r="FP35" s="69"/>
      <c r="FQ35" s="69"/>
      <c r="FR35" s="69"/>
      <c r="FS35" s="69"/>
      <c r="FT35" s="69"/>
      <c r="FU35" s="69"/>
      <c r="FV35" s="69"/>
      <c r="FW35" s="69"/>
      <c r="FX35" s="69"/>
      <c r="FY35" s="69"/>
      <c r="FZ35" s="69"/>
      <c r="GA35" s="69"/>
      <c r="GB35" s="69"/>
      <c r="GC35" s="85"/>
      <c r="GD35" s="70"/>
      <c r="GE35" s="69"/>
      <c r="GF35" s="69"/>
      <c r="GG35" s="69"/>
      <c r="GH35" s="69"/>
      <c r="GI35" s="69"/>
      <c r="GJ35" s="69"/>
      <c r="GK35" s="69"/>
      <c r="GL35" s="69"/>
      <c r="GM35" s="69"/>
      <c r="GN35" s="69"/>
      <c r="GO35" s="69"/>
      <c r="GP35" s="69"/>
      <c r="GQ35" s="69"/>
      <c r="GR35" s="69"/>
      <c r="GS35" s="69"/>
      <c r="GT35" s="69"/>
      <c r="GU35" s="69"/>
      <c r="GV35" s="69"/>
      <c r="GW35" s="69"/>
      <c r="GX35" s="69"/>
      <c r="GY35" s="69"/>
      <c r="GZ35" s="69"/>
      <c r="HA35" s="69"/>
      <c r="HB35" s="69"/>
      <c r="HC35" s="69"/>
      <c r="HD35" s="69"/>
      <c r="HE35" s="69"/>
      <c r="HF35" s="69"/>
      <c r="HG35" s="69"/>
      <c r="HH35" s="69"/>
      <c r="HI35" s="69"/>
      <c r="HJ35" s="69"/>
      <c r="HK35" s="69"/>
      <c r="HL35" s="69"/>
      <c r="HM35" s="69"/>
      <c r="HN35" s="69"/>
      <c r="HO35" s="69"/>
      <c r="HP35" s="69"/>
      <c r="HQ35" s="69"/>
      <c r="HR35" s="69"/>
      <c r="HS35" s="69"/>
      <c r="HT35" s="69"/>
      <c r="HU35" s="69"/>
      <c r="HV35" s="69"/>
      <c r="HW35" s="69"/>
      <c r="HX35" s="69"/>
      <c r="HY35" s="69"/>
      <c r="HZ35" s="69"/>
      <c r="IA35" s="69"/>
      <c r="IB35" s="69"/>
      <c r="IC35" s="69"/>
      <c r="ID35" s="69"/>
      <c r="IE35" s="69"/>
      <c r="IF35" s="69"/>
      <c r="IG35" s="69"/>
      <c r="IH35" s="69"/>
      <c r="II35" s="69"/>
      <c r="IJ35" s="69"/>
      <c r="IK35" s="85"/>
      <c r="IL35" s="70"/>
      <c r="IM35" s="69"/>
      <c r="IN35" s="69"/>
      <c r="IO35" s="69"/>
      <c r="IP35" s="69"/>
      <c r="IQ35" s="69"/>
      <c r="IR35" s="69"/>
      <c r="IS35" s="69"/>
      <c r="IT35" s="69"/>
      <c r="IU35" s="69"/>
      <c r="IV35" s="69"/>
      <c r="IW35" s="69"/>
      <c r="IX35" s="69"/>
      <c r="IY35" s="69"/>
      <c r="IZ35" s="69"/>
      <c r="JA35" s="69"/>
      <c r="JB35" s="69"/>
      <c r="JC35" s="69"/>
      <c r="JD35" s="69"/>
      <c r="JE35" s="69"/>
      <c r="JF35" s="69"/>
      <c r="JG35" s="69"/>
      <c r="JH35" s="69"/>
      <c r="JI35" s="69"/>
      <c r="JJ35" s="69"/>
      <c r="JK35" s="69"/>
      <c r="JL35" s="69"/>
      <c r="JM35" s="69"/>
      <c r="JN35" s="69"/>
      <c r="JO35" s="69"/>
      <c r="JP35" s="69"/>
      <c r="JQ35" s="69"/>
      <c r="JR35" s="69"/>
      <c r="JS35" s="69"/>
      <c r="JT35" s="69"/>
      <c r="JU35" s="69"/>
      <c r="JV35" s="69"/>
      <c r="JW35" s="69"/>
      <c r="JX35" s="69"/>
      <c r="JY35" s="69"/>
      <c r="JZ35" s="69"/>
      <c r="KA35" s="69"/>
      <c r="KB35" s="69"/>
      <c r="KC35" s="69"/>
      <c r="KD35" s="69"/>
      <c r="KE35" s="69"/>
      <c r="KF35" s="69"/>
      <c r="KG35" s="69"/>
      <c r="KH35" s="69"/>
      <c r="KI35" s="69"/>
      <c r="KJ35" s="69"/>
      <c r="KK35" s="69"/>
      <c r="KL35" s="69"/>
      <c r="KM35" s="69"/>
      <c r="KN35" s="69"/>
      <c r="KO35" s="69"/>
      <c r="KP35" s="69"/>
      <c r="KQ35" s="69"/>
      <c r="KR35" s="69"/>
      <c r="KS35" s="85"/>
      <c r="KT35" s="70"/>
      <c r="KU35" s="69"/>
      <c r="KV35" s="69"/>
      <c r="KW35" s="69"/>
      <c r="KX35" s="69"/>
      <c r="KY35" s="69"/>
      <c r="KZ35" s="69"/>
      <c r="LA35" s="69"/>
      <c r="LB35" s="69"/>
      <c r="LC35" s="69"/>
      <c r="LD35" s="69"/>
      <c r="LE35" s="69"/>
      <c r="LF35" s="69"/>
      <c r="LG35" s="69"/>
      <c r="LH35" s="69"/>
      <c r="LI35" s="69"/>
      <c r="LJ35" s="69"/>
      <c r="LK35" s="69"/>
      <c r="LL35" s="69"/>
      <c r="LM35" s="69"/>
      <c r="LN35" s="69"/>
      <c r="LO35" s="69"/>
      <c r="LP35" s="69"/>
      <c r="LQ35" s="69"/>
      <c r="LR35" s="69"/>
      <c r="LS35" s="69"/>
      <c r="LT35" s="69"/>
      <c r="LU35" s="69"/>
      <c r="LV35" s="69"/>
      <c r="LW35" s="69"/>
      <c r="LX35" s="69"/>
      <c r="LY35" s="69"/>
      <c r="LZ35" s="69"/>
      <c r="MA35" s="69"/>
      <c r="MB35" s="69"/>
      <c r="MC35" s="69"/>
      <c r="MD35" s="69"/>
      <c r="ME35" s="69"/>
      <c r="MF35" s="69"/>
      <c r="MG35" s="69"/>
      <c r="MH35" s="69"/>
      <c r="MI35" s="69"/>
      <c r="MJ35" s="69"/>
      <c r="MK35" s="69"/>
      <c r="ML35" s="69"/>
      <c r="MM35" s="69"/>
      <c r="MN35" s="69"/>
      <c r="MO35" s="69"/>
      <c r="MP35" s="69"/>
      <c r="MQ35" s="69"/>
      <c r="MR35" s="69"/>
      <c r="MS35" s="69"/>
      <c r="MT35" s="69"/>
      <c r="MU35" s="69"/>
      <c r="MV35" s="69"/>
      <c r="MW35" s="69"/>
      <c r="MX35" s="69"/>
      <c r="MY35" s="69"/>
      <c r="MZ35" s="69"/>
      <c r="NA35" s="85"/>
      <c r="NB35" s="70"/>
      <c r="NC35" s="69"/>
      <c r="ND35" s="69"/>
      <c r="NE35" s="69"/>
      <c r="NF35" s="69"/>
      <c r="NG35" s="69"/>
      <c r="NH35" s="69"/>
      <c r="NI35" s="69"/>
      <c r="NJ35" s="69"/>
      <c r="NK35" s="69"/>
      <c r="NL35" s="69"/>
      <c r="NM35" s="69"/>
      <c r="NN35" s="69"/>
      <c r="NO35" s="69"/>
      <c r="NP35" s="69"/>
      <c r="NQ35" s="69"/>
      <c r="NR35" s="69"/>
      <c r="NS35" s="69"/>
      <c r="NT35" s="69"/>
      <c r="NU35" s="69"/>
      <c r="NV35" s="69"/>
      <c r="NW35" s="69"/>
      <c r="NX35" s="69"/>
      <c r="NY35" s="69"/>
      <c r="NZ35" s="69"/>
      <c r="OA35" s="69"/>
      <c r="OB35" s="69"/>
      <c r="OC35" s="69"/>
      <c r="OD35" s="69"/>
      <c r="OE35" s="69"/>
      <c r="OF35" s="69"/>
      <c r="OG35" s="69"/>
      <c r="OH35" s="69"/>
      <c r="OI35" s="69"/>
      <c r="OJ35" s="69"/>
      <c r="OK35" s="69"/>
      <c r="OL35" s="69"/>
      <c r="OM35" s="69"/>
      <c r="ON35" s="69"/>
      <c r="OO35" s="69"/>
      <c r="OP35" s="69"/>
      <c r="OQ35" s="69"/>
      <c r="OR35" s="69"/>
      <c r="OS35" s="69"/>
      <c r="OT35" s="69"/>
      <c r="OU35" s="69"/>
      <c r="OV35" s="69"/>
      <c r="OW35" s="69"/>
      <c r="OX35" s="69"/>
      <c r="OY35" s="69"/>
      <c r="OZ35" s="69"/>
      <c r="PA35" s="69"/>
      <c r="PB35" s="69"/>
      <c r="PC35" s="69"/>
      <c r="PD35" s="69"/>
      <c r="PE35" s="69"/>
      <c r="PF35" s="69"/>
      <c r="PG35" s="69"/>
      <c r="PH35" s="69"/>
      <c r="PI35" s="85"/>
      <c r="PJ35" s="70"/>
      <c r="PK35" s="69"/>
      <c r="PL35" s="69"/>
      <c r="PM35" s="69"/>
      <c r="PN35" s="69"/>
      <c r="PO35" s="69"/>
      <c r="PP35" s="69"/>
      <c r="PQ35" s="69"/>
      <c r="PR35" s="69"/>
      <c r="PS35" s="69"/>
      <c r="PT35" s="69"/>
      <c r="PU35" s="69"/>
      <c r="PV35" s="69"/>
      <c r="PW35" s="69"/>
      <c r="PX35" s="69"/>
      <c r="PY35" s="69"/>
      <c r="PZ35" s="69"/>
      <c r="QA35" s="69"/>
      <c r="QB35" s="69"/>
      <c r="QC35" s="69"/>
      <c r="QD35" s="69"/>
      <c r="QE35" s="69"/>
      <c r="QF35" s="69"/>
      <c r="QG35" s="69"/>
      <c r="QH35" s="69"/>
      <c r="QI35" s="69"/>
      <c r="QJ35" s="69"/>
      <c r="QK35" s="69"/>
      <c r="QL35" s="69"/>
      <c r="QM35" s="69"/>
      <c r="QN35" s="69"/>
      <c r="QO35" s="69"/>
      <c r="QP35" s="69"/>
      <c r="QQ35" s="69"/>
      <c r="QR35" s="69"/>
      <c r="QS35" s="69"/>
      <c r="QT35" s="69"/>
      <c r="QU35" s="69"/>
      <c r="QV35" s="69"/>
      <c r="QW35" s="69"/>
      <c r="QX35" s="69"/>
      <c r="QY35" s="69"/>
      <c r="QZ35" s="69"/>
      <c r="RA35" s="69"/>
      <c r="RB35" s="69"/>
      <c r="RC35" s="69"/>
      <c r="RD35" s="69"/>
      <c r="RE35" s="69"/>
      <c r="RF35" s="69"/>
      <c r="RG35" s="69"/>
      <c r="RH35" s="69"/>
      <c r="RI35" s="69"/>
      <c r="RJ35" s="69"/>
      <c r="RK35" s="69"/>
      <c r="RL35" s="69"/>
      <c r="RM35" s="69"/>
      <c r="RN35" s="69"/>
      <c r="RO35" s="69"/>
      <c r="RP35" s="69"/>
      <c r="RQ35" s="85"/>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90"/>
    </row>
    <row r="36" spans="1:546" ht="20.100000000000001" customHeight="1" thickBot="1" x14ac:dyDescent="0.3">
      <c r="B36" s="96"/>
      <c r="C36" s="214"/>
      <c r="D36" s="215"/>
      <c r="E36" s="122" t="str">
        <f xml:space="preserve"> setValueToTime(E35)</f>
        <v>37h50min</v>
      </c>
      <c r="F36" s="111"/>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3"/>
      <c r="BN36" s="111"/>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3"/>
      <c r="DV36" s="111"/>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3"/>
      <c r="GD36" s="111"/>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3"/>
      <c r="IL36" s="111"/>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2"/>
      <c r="KE36" s="112"/>
      <c r="KF36" s="112"/>
      <c r="KG36" s="112"/>
      <c r="KH36" s="112"/>
      <c r="KI36" s="112"/>
      <c r="KJ36" s="112"/>
      <c r="KK36" s="112"/>
      <c r="KL36" s="112"/>
      <c r="KM36" s="112"/>
      <c r="KN36" s="112"/>
      <c r="KO36" s="112"/>
      <c r="KP36" s="112"/>
      <c r="KQ36" s="112"/>
      <c r="KR36" s="112"/>
      <c r="KS36" s="113"/>
      <c r="KT36" s="111"/>
      <c r="KU36" s="112"/>
      <c r="KV36" s="112"/>
      <c r="KW36" s="112"/>
      <c r="KX36" s="112"/>
      <c r="KY36" s="112"/>
      <c r="KZ36" s="112"/>
      <c r="LA36" s="112"/>
      <c r="LB36" s="112"/>
      <c r="LC36" s="112"/>
      <c r="LD36" s="112"/>
      <c r="LE36" s="112"/>
      <c r="LF36" s="112"/>
      <c r="LG36" s="112"/>
      <c r="LH36" s="112"/>
      <c r="LI36" s="112"/>
      <c r="LJ36" s="112"/>
      <c r="LK36" s="112"/>
      <c r="LL36" s="112"/>
      <c r="LM36" s="112"/>
      <c r="LN36" s="112"/>
      <c r="LO36" s="112"/>
      <c r="LP36" s="112"/>
      <c r="LQ36" s="112"/>
      <c r="LR36" s="112"/>
      <c r="LS36" s="112"/>
      <c r="LT36" s="112"/>
      <c r="LU36" s="112"/>
      <c r="LV36" s="112"/>
      <c r="LW36" s="112"/>
      <c r="LX36" s="112"/>
      <c r="LY36" s="112"/>
      <c r="LZ36" s="112"/>
      <c r="MA36" s="112"/>
      <c r="MB36" s="112"/>
      <c r="MC36" s="112"/>
      <c r="MD36" s="112"/>
      <c r="ME36" s="112"/>
      <c r="MF36" s="112"/>
      <c r="MG36" s="112"/>
      <c r="MH36" s="112"/>
      <c r="MI36" s="112"/>
      <c r="MJ36" s="112"/>
      <c r="MK36" s="112"/>
      <c r="ML36" s="112"/>
      <c r="MM36" s="112"/>
      <c r="MN36" s="112"/>
      <c r="MO36" s="112"/>
      <c r="MP36" s="112"/>
      <c r="MQ36" s="112"/>
      <c r="MR36" s="112"/>
      <c r="MS36" s="112"/>
      <c r="MT36" s="112"/>
      <c r="MU36" s="112"/>
      <c r="MV36" s="112"/>
      <c r="MW36" s="112"/>
      <c r="MX36" s="112"/>
      <c r="MY36" s="112"/>
      <c r="MZ36" s="112"/>
      <c r="NA36" s="113"/>
      <c r="NB36" s="111"/>
      <c r="NC36" s="112"/>
      <c r="ND36" s="112"/>
      <c r="NE36" s="112"/>
      <c r="NF36" s="112"/>
      <c r="NG36" s="112"/>
      <c r="NH36" s="112"/>
      <c r="NI36" s="112"/>
      <c r="NJ36" s="112"/>
      <c r="NK36" s="112"/>
      <c r="NL36" s="112"/>
      <c r="NM36" s="112"/>
      <c r="NN36" s="112"/>
      <c r="NO36" s="112"/>
      <c r="NP36" s="112"/>
      <c r="NQ36" s="112"/>
      <c r="NR36" s="112"/>
      <c r="NS36" s="112"/>
      <c r="NT36" s="112"/>
      <c r="NU36" s="112"/>
      <c r="NV36" s="112"/>
      <c r="NW36" s="112"/>
      <c r="NX36" s="112"/>
      <c r="NY36" s="112"/>
      <c r="NZ36" s="112"/>
      <c r="OA36" s="112"/>
      <c r="OB36" s="112"/>
      <c r="OC36" s="112"/>
      <c r="OD36" s="112"/>
      <c r="OE36" s="112"/>
      <c r="OF36" s="112"/>
      <c r="OG36" s="112"/>
      <c r="OH36" s="112"/>
      <c r="OI36" s="112"/>
      <c r="OJ36" s="112"/>
      <c r="OK36" s="112"/>
      <c r="OL36" s="112"/>
      <c r="OM36" s="112"/>
      <c r="ON36" s="112"/>
      <c r="OO36" s="112"/>
      <c r="OP36" s="112"/>
      <c r="OQ36" s="112"/>
      <c r="OR36" s="112"/>
      <c r="OS36" s="112"/>
      <c r="OT36" s="112"/>
      <c r="OU36" s="112"/>
      <c r="OV36" s="112"/>
      <c r="OW36" s="112"/>
      <c r="OX36" s="112"/>
      <c r="OY36" s="112"/>
      <c r="OZ36" s="112"/>
      <c r="PA36" s="112"/>
      <c r="PB36" s="112"/>
      <c r="PC36" s="112"/>
      <c r="PD36" s="112"/>
      <c r="PE36" s="112"/>
      <c r="PF36" s="112"/>
      <c r="PG36" s="112"/>
      <c r="PH36" s="112"/>
      <c r="PI36" s="113"/>
      <c r="PJ36" s="111"/>
      <c r="PK36" s="112"/>
      <c r="PL36" s="112"/>
      <c r="PM36" s="112"/>
      <c r="PN36" s="112"/>
      <c r="PO36" s="112"/>
      <c r="PP36" s="112"/>
      <c r="PQ36" s="112"/>
      <c r="PR36" s="112"/>
      <c r="PS36" s="112"/>
      <c r="PT36" s="112"/>
      <c r="PU36" s="112"/>
      <c r="PV36" s="112"/>
      <c r="PW36" s="112"/>
      <c r="PX36" s="112"/>
      <c r="PY36" s="112"/>
      <c r="PZ36" s="112"/>
      <c r="QA36" s="112"/>
      <c r="QB36" s="112"/>
      <c r="QC36" s="112"/>
      <c r="QD36" s="112"/>
      <c r="QE36" s="112"/>
      <c r="QF36" s="112"/>
      <c r="QG36" s="112"/>
      <c r="QH36" s="112"/>
      <c r="QI36" s="112"/>
      <c r="QJ36" s="112"/>
      <c r="QK36" s="112"/>
      <c r="QL36" s="112"/>
      <c r="QM36" s="112"/>
      <c r="QN36" s="112"/>
      <c r="QO36" s="112"/>
      <c r="QP36" s="112"/>
      <c r="QQ36" s="112"/>
      <c r="QR36" s="112"/>
      <c r="QS36" s="112"/>
      <c r="QT36" s="112"/>
      <c r="QU36" s="112"/>
      <c r="QV36" s="112"/>
      <c r="QW36" s="112"/>
      <c r="QX36" s="112"/>
      <c r="QY36" s="112"/>
      <c r="QZ36" s="112"/>
      <c r="RA36" s="112"/>
      <c r="RB36" s="112"/>
      <c r="RC36" s="112"/>
      <c r="RD36" s="112"/>
      <c r="RE36" s="112"/>
      <c r="RF36" s="112"/>
      <c r="RG36" s="112"/>
      <c r="RH36" s="112"/>
      <c r="RI36" s="112"/>
      <c r="RJ36" s="112"/>
      <c r="RK36" s="112"/>
      <c r="RL36" s="112"/>
      <c r="RM36" s="112"/>
      <c r="RN36" s="112"/>
      <c r="RO36" s="112"/>
      <c r="RP36" s="112"/>
      <c r="RQ36" s="113"/>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90"/>
    </row>
    <row r="37" spans="1:546" ht="20.100000000000001" customHeight="1" x14ac:dyDescent="0.25">
      <c r="B37" s="96"/>
      <c r="C37" s="218" t="s">
        <v>10</v>
      </c>
      <c r="D37" s="219"/>
      <c r="E37" s="117">
        <f>SUM(E16,E18,E20,E22,E24,E26,E28,E30,E32,E34)</f>
        <v>470</v>
      </c>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5"/>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5"/>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5"/>
      <c r="GD37" s="114"/>
      <c r="GE37" s="114"/>
      <c r="GF37" s="114"/>
      <c r="GG37" s="114"/>
      <c r="GH37" s="114"/>
      <c r="GI37" s="114"/>
      <c r="GJ37" s="114"/>
      <c r="GK37" s="114"/>
      <c r="GL37" s="114"/>
      <c r="GM37" s="114"/>
      <c r="GN37" s="114"/>
      <c r="GO37" s="114"/>
      <c r="GP37" s="114"/>
      <c r="GQ37" s="114"/>
      <c r="GR37" s="114"/>
      <c r="GS37" s="114"/>
      <c r="GT37" s="114"/>
      <c r="GU37" s="114"/>
      <c r="GV37" s="114"/>
      <c r="GW37" s="114"/>
      <c r="GX37" s="114"/>
      <c r="GY37" s="114"/>
      <c r="GZ37" s="114"/>
      <c r="HA37" s="114"/>
      <c r="HB37" s="114"/>
      <c r="HC37" s="114"/>
      <c r="HD37" s="114"/>
      <c r="HE37" s="114"/>
      <c r="HF37" s="114"/>
      <c r="HG37" s="114"/>
      <c r="HH37" s="114"/>
      <c r="HI37" s="114"/>
      <c r="HJ37" s="114"/>
      <c r="HK37" s="114"/>
      <c r="HL37" s="114"/>
      <c r="HM37" s="114"/>
      <c r="HN37" s="114"/>
      <c r="HO37" s="114"/>
      <c r="HP37" s="114"/>
      <c r="HQ37" s="114"/>
      <c r="HR37" s="114"/>
      <c r="HS37" s="114"/>
      <c r="HT37" s="114"/>
      <c r="HU37" s="114"/>
      <c r="HV37" s="114"/>
      <c r="HW37" s="114"/>
      <c r="HX37" s="114"/>
      <c r="HY37" s="114"/>
      <c r="HZ37" s="114"/>
      <c r="IA37" s="114"/>
      <c r="IB37" s="114"/>
      <c r="IC37" s="114"/>
      <c r="ID37" s="114"/>
      <c r="IE37" s="114"/>
      <c r="IF37" s="114"/>
      <c r="IG37" s="114"/>
      <c r="IH37" s="114"/>
      <c r="II37" s="114"/>
      <c r="IJ37" s="114"/>
      <c r="IK37" s="115"/>
      <c r="IL37" s="114"/>
      <c r="IM37" s="114"/>
      <c r="IN37" s="114"/>
      <c r="IO37" s="114"/>
      <c r="IP37" s="114"/>
      <c r="IQ37" s="114"/>
      <c r="IR37" s="114"/>
      <c r="IS37" s="114"/>
      <c r="IT37" s="114"/>
      <c r="IU37" s="114"/>
      <c r="IV37" s="114"/>
      <c r="IW37" s="114"/>
      <c r="IX37" s="114"/>
      <c r="IY37" s="114"/>
      <c r="IZ37" s="114"/>
      <c r="JA37" s="114"/>
      <c r="JB37" s="114"/>
      <c r="JC37" s="114"/>
      <c r="JD37" s="114"/>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4"/>
      <c r="KE37" s="114"/>
      <c r="KF37" s="114"/>
      <c r="KG37" s="114"/>
      <c r="KH37" s="114"/>
      <c r="KI37" s="114"/>
      <c r="KJ37" s="114"/>
      <c r="KK37" s="114"/>
      <c r="KL37" s="114"/>
      <c r="KM37" s="114"/>
      <c r="KN37" s="114"/>
      <c r="KO37" s="114"/>
      <c r="KP37" s="114"/>
      <c r="KQ37" s="114"/>
      <c r="KR37" s="114"/>
      <c r="KS37" s="115"/>
      <c r="KT37" s="114"/>
      <c r="KU37" s="114"/>
      <c r="KV37" s="114"/>
      <c r="KW37" s="114"/>
      <c r="KX37" s="114"/>
      <c r="KY37" s="114"/>
      <c r="KZ37" s="114"/>
      <c r="LA37" s="114"/>
      <c r="LB37" s="114"/>
      <c r="LC37" s="114"/>
      <c r="LD37" s="114"/>
      <c r="LE37" s="114"/>
      <c r="LF37" s="114"/>
      <c r="LG37" s="114"/>
      <c r="LH37" s="114"/>
      <c r="LI37" s="114"/>
      <c r="LJ37" s="114"/>
      <c r="LK37" s="114"/>
      <c r="LL37" s="114"/>
      <c r="LM37" s="114"/>
      <c r="LN37" s="114"/>
      <c r="LO37" s="114"/>
      <c r="LP37" s="114"/>
      <c r="LQ37" s="114"/>
      <c r="LR37" s="114"/>
      <c r="LS37" s="114"/>
      <c r="LT37" s="114"/>
      <c r="LU37" s="114"/>
      <c r="LV37" s="114"/>
      <c r="LW37" s="114"/>
      <c r="LX37" s="114"/>
      <c r="LY37" s="114"/>
      <c r="LZ37" s="114"/>
      <c r="MA37" s="114"/>
      <c r="MB37" s="114"/>
      <c r="MC37" s="114"/>
      <c r="MD37" s="114"/>
      <c r="ME37" s="114"/>
      <c r="MF37" s="114"/>
      <c r="MG37" s="114"/>
      <c r="MH37" s="114"/>
      <c r="MI37" s="114"/>
      <c r="MJ37" s="114"/>
      <c r="MK37" s="114"/>
      <c r="ML37" s="114"/>
      <c r="MM37" s="114"/>
      <c r="MN37" s="114"/>
      <c r="MO37" s="114"/>
      <c r="MP37" s="114"/>
      <c r="MQ37" s="114"/>
      <c r="MR37" s="114"/>
      <c r="MS37" s="114"/>
      <c r="MT37" s="114"/>
      <c r="MU37" s="114"/>
      <c r="MV37" s="114"/>
      <c r="MW37" s="114"/>
      <c r="MX37" s="114"/>
      <c r="MY37" s="114"/>
      <c r="MZ37" s="114"/>
      <c r="NA37" s="115"/>
      <c r="NB37" s="114"/>
      <c r="NC37" s="114"/>
      <c r="ND37" s="114"/>
      <c r="NE37" s="114"/>
      <c r="NF37" s="114"/>
      <c r="NG37" s="114"/>
      <c r="NH37" s="114"/>
      <c r="NI37" s="114"/>
      <c r="NJ37" s="114"/>
      <c r="NK37" s="114"/>
      <c r="NL37" s="114"/>
      <c r="NM37" s="114"/>
      <c r="NN37" s="114"/>
      <c r="NO37" s="114"/>
      <c r="NP37" s="114"/>
      <c r="NQ37" s="114"/>
      <c r="NR37" s="114"/>
      <c r="NS37" s="114"/>
      <c r="NT37" s="114"/>
      <c r="NU37" s="114"/>
      <c r="NV37" s="114"/>
      <c r="NW37" s="114"/>
      <c r="NX37" s="114"/>
      <c r="NY37" s="114"/>
      <c r="NZ37" s="114"/>
      <c r="OA37" s="114"/>
      <c r="OB37" s="114"/>
      <c r="OC37" s="114"/>
      <c r="OD37" s="114"/>
      <c r="OE37" s="114"/>
      <c r="OF37" s="114"/>
      <c r="OG37" s="114"/>
      <c r="OH37" s="114"/>
      <c r="OI37" s="114"/>
      <c r="OJ37" s="114"/>
      <c r="OK37" s="114"/>
      <c r="OL37" s="114"/>
      <c r="OM37" s="114"/>
      <c r="ON37" s="114"/>
      <c r="OO37" s="114"/>
      <c r="OP37" s="114"/>
      <c r="OQ37" s="114"/>
      <c r="OR37" s="114"/>
      <c r="OS37" s="114"/>
      <c r="OT37" s="114"/>
      <c r="OU37" s="114"/>
      <c r="OV37" s="114"/>
      <c r="OW37" s="114"/>
      <c r="OX37" s="114"/>
      <c r="OY37" s="114"/>
      <c r="OZ37" s="114"/>
      <c r="PA37" s="114"/>
      <c r="PB37" s="114"/>
      <c r="PC37" s="114"/>
      <c r="PD37" s="114"/>
      <c r="PE37" s="114"/>
      <c r="PF37" s="114"/>
      <c r="PG37" s="114"/>
      <c r="PH37" s="114"/>
      <c r="PI37" s="115"/>
      <c r="PJ37" s="114"/>
      <c r="PK37" s="114"/>
      <c r="PL37" s="114"/>
      <c r="PM37" s="114"/>
      <c r="PN37" s="114"/>
      <c r="PO37" s="114"/>
      <c r="PP37" s="114"/>
      <c r="PQ37" s="114"/>
      <c r="PR37" s="114"/>
      <c r="PS37" s="114"/>
      <c r="PT37" s="114"/>
      <c r="PU37" s="114"/>
      <c r="PV37" s="114"/>
      <c r="PW37" s="114"/>
      <c r="PX37" s="114"/>
      <c r="PY37" s="114"/>
      <c r="PZ37" s="114"/>
      <c r="QA37" s="114"/>
      <c r="QB37" s="114"/>
      <c r="QC37" s="114"/>
      <c r="QD37" s="114"/>
      <c r="QE37" s="114"/>
      <c r="QF37" s="114"/>
      <c r="QG37" s="114"/>
      <c r="QH37" s="114"/>
      <c r="QI37" s="114"/>
      <c r="QJ37" s="114"/>
      <c r="QK37" s="114"/>
      <c r="QL37" s="114"/>
      <c r="QM37" s="114"/>
      <c r="QN37" s="114"/>
      <c r="QO37" s="114"/>
      <c r="QP37" s="114"/>
      <c r="QQ37" s="114"/>
      <c r="QR37" s="114"/>
      <c r="QS37" s="114"/>
      <c r="QT37" s="114"/>
      <c r="QU37" s="114"/>
      <c r="QV37" s="114"/>
      <c r="QW37" s="114"/>
      <c r="QX37" s="114"/>
      <c r="QY37" s="114"/>
      <c r="QZ37" s="114"/>
      <c r="RA37" s="114"/>
      <c r="RB37" s="114"/>
      <c r="RC37" s="114"/>
      <c r="RD37" s="114"/>
      <c r="RE37" s="114"/>
      <c r="RF37" s="114"/>
      <c r="RG37" s="114"/>
      <c r="RH37" s="114"/>
      <c r="RI37" s="114"/>
      <c r="RJ37" s="114"/>
      <c r="RK37" s="114"/>
      <c r="RL37" s="114"/>
      <c r="RM37" s="114"/>
      <c r="RN37" s="114"/>
      <c r="RO37" s="114"/>
      <c r="RP37" s="114"/>
      <c r="RQ37" s="115"/>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90"/>
    </row>
    <row r="38" spans="1:546" ht="20.100000000000001" customHeight="1" thickBot="1" x14ac:dyDescent="0.3">
      <c r="B38" s="96"/>
      <c r="C38" s="220"/>
      <c r="D38" s="221"/>
      <c r="E38" s="121" t="str">
        <f xml:space="preserve"> setValueToTime(E37)</f>
        <v>39h10min</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86"/>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86"/>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86"/>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86"/>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86"/>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86"/>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86"/>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c r="QN38" s="71"/>
      <c r="QO38" s="71"/>
      <c r="QP38" s="71"/>
      <c r="QQ38" s="71"/>
      <c r="QR38" s="71"/>
      <c r="QS38" s="71"/>
      <c r="QT38" s="71"/>
      <c r="QU38" s="71"/>
      <c r="QV38" s="71"/>
      <c r="QW38" s="71"/>
      <c r="QX38" s="71"/>
      <c r="QY38" s="71"/>
      <c r="QZ38" s="71"/>
      <c r="RA38" s="71"/>
      <c r="RB38" s="71"/>
      <c r="RC38" s="71"/>
      <c r="RD38" s="71"/>
      <c r="RE38" s="71"/>
      <c r="RF38" s="71"/>
      <c r="RG38" s="71"/>
      <c r="RH38" s="71"/>
      <c r="RI38" s="71"/>
      <c r="RJ38" s="71"/>
      <c r="RK38" s="71"/>
      <c r="RL38" s="71"/>
      <c r="RM38" s="71"/>
      <c r="RN38" s="71"/>
      <c r="RO38" s="71"/>
      <c r="RP38" s="71"/>
      <c r="RQ38" s="86"/>
      <c r="RR38" s="36"/>
      <c r="RS38" s="65"/>
      <c r="RT38" s="65"/>
      <c r="RU38" s="65"/>
      <c r="RV38" s="37"/>
      <c r="RW38" s="132"/>
      <c r="RX38" s="37"/>
      <c r="RY38" s="37"/>
      <c r="RZ38" s="37"/>
      <c r="SA38" s="37"/>
      <c r="SB38" s="37"/>
      <c r="SC38" s="137"/>
      <c r="SD38" s="37"/>
      <c r="SE38" s="37"/>
      <c r="SF38" s="37"/>
      <c r="SG38" s="37"/>
      <c r="SH38" s="37"/>
      <c r="SI38" s="75"/>
      <c r="SJ38" s="3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90"/>
    </row>
    <row r="39" spans="1:546" ht="20.100000000000001" customHeight="1" thickBot="1" x14ac:dyDescent="0.3">
      <c r="B39" s="98"/>
      <c r="C39" s="43"/>
      <c r="D39" s="43"/>
      <c r="E39" s="43"/>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40"/>
      <c r="RS39" s="66"/>
      <c r="RT39" s="66"/>
      <c r="RU39" s="66"/>
      <c r="RV39" s="41"/>
      <c r="RW39" s="133"/>
      <c r="RX39" s="41"/>
      <c r="RY39" s="41"/>
      <c r="RZ39" s="41"/>
      <c r="SA39" s="41"/>
      <c r="SB39" s="41"/>
      <c r="SC39" s="138"/>
      <c r="SD39" s="41"/>
      <c r="SE39" s="41"/>
      <c r="SF39" s="41"/>
      <c r="SG39" s="41"/>
      <c r="SH39" s="41"/>
      <c r="SI39" s="76"/>
      <c r="SJ39" s="41"/>
      <c r="SK39" s="41"/>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90"/>
    </row>
    <row r="40" spans="1:546" x14ac:dyDescent="0.25">
      <c r="RR40" s="28"/>
      <c r="RS40" s="67"/>
      <c r="RT40" s="67"/>
      <c r="RU40" s="67"/>
      <c r="RV40" s="29"/>
      <c r="RW40" s="130"/>
      <c r="RX40" s="29"/>
      <c r="RY40" s="29"/>
      <c r="RZ40" s="29"/>
      <c r="SA40" s="29"/>
      <c r="SB40" s="29"/>
      <c r="SC40" s="135"/>
      <c r="SD40" s="29"/>
      <c r="SE40" s="29"/>
      <c r="SF40" s="29"/>
      <c r="SG40" s="29"/>
      <c r="SH40" s="29"/>
      <c r="SI40" s="73"/>
      <c r="SJ40" s="29"/>
      <c r="SK40" s="29"/>
      <c r="SL40" s="29"/>
      <c r="SM40" s="29"/>
      <c r="SN40" s="29"/>
      <c r="SO40" s="135"/>
      <c r="SP40" s="29"/>
      <c r="SQ40" s="29"/>
      <c r="SR40" s="29"/>
      <c r="SS40" s="29"/>
      <c r="ST40" s="29"/>
      <c r="SU40" s="73"/>
      <c r="SV40" s="67"/>
      <c r="SW40" s="67"/>
      <c r="SX40" s="67"/>
      <c r="SY40" s="67"/>
      <c r="SZ40" s="29"/>
      <c r="TA40" s="135"/>
      <c r="TB40" s="29"/>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90"/>
    </row>
    <row r="41" spans="1:546" x14ac:dyDescent="0.25">
      <c r="RR41" s="32"/>
      <c r="RS41" s="64"/>
      <c r="RT41" s="64"/>
      <c r="RU41" s="64"/>
      <c r="RV41" s="33"/>
      <c r="RW41" s="131"/>
      <c r="RX41" s="33"/>
      <c r="RY41" s="33"/>
      <c r="RZ41" s="33"/>
      <c r="SA41" s="33"/>
      <c r="SB41" s="33"/>
      <c r="SC41" s="136"/>
      <c r="SD41" s="33"/>
      <c r="SE41" s="33"/>
      <c r="SF41" s="33"/>
      <c r="SG41" s="33"/>
      <c r="SH41" s="33"/>
      <c r="SI41" s="74"/>
      <c r="SJ41" s="33"/>
      <c r="SK41" s="33"/>
      <c r="SL41" s="33"/>
      <c r="SM41" s="33"/>
      <c r="SN41" s="33"/>
      <c r="SO41" s="136"/>
      <c r="SP41" s="33"/>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90"/>
    </row>
    <row r="42" spans="1:546" x14ac:dyDescent="0.25">
      <c r="RR42" s="36"/>
      <c r="RS42" s="65"/>
      <c r="RT42" s="65"/>
      <c r="RU42" s="65"/>
      <c r="RV42" s="37"/>
      <c r="RW42" s="132"/>
      <c r="RX42" s="37"/>
      <c r="RY42" s="37"/>
      <c r="RZ42" s="37"/>
      <c r="SA42" s="37"/>
      <c r="SB42" s="37"/>
      <c r="SC42" s="137"/>
      <c r="SD42" s="37"/>
      <c r="SE42" s="37"/>
      <c r="SF42" s="37"/>
      <c r="SG42" s="37"/>
      <c r="SH42" s="37"/>
      <c r="SI42" s="75"/>
      <c r="SJ42" s="37"/>
      <c r="SK42" s="37"/>
      <c r="SL42" s="37"/>
      <c r="SM42" s="37"/>
      <c r="SN42" s="37"/>
      <c r="SO42" s="137"/>
      <c r="SP42" s="37"/>
      <c r="SQ42" s="37"/>
      <c r="SR42" s="37"/>
      <c r="SS42" s="37"/>
      <c r="ST42" s="37"/>
      <c r="SU42" s="75"/>
      <c r="SV42" s="65"/>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90"/>
    </row>
    <row r="43" spans="1:546" x14ac:dyDescent="0.25">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90"/>
    </row>
    <row r="44" spans="1:546" x14ac:dyDescent="0.25">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90"/>
    </row>
    <row r="45" spans="1:546" x14ac:dyDescent="0.25">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90"/>
    </row>
    <row r="46" spans="1:546" x14ac:dyDescent="0.25">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90"/>
    </row>
    <row r="47" spans="1:546" x14ac:dyDescent="0.25">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90"/>
    </row>
    <row r="48" spans="1:546" x14ac:dyDescent="0.25">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90"/>
    </row>
    <row r="49" spans="486:546" x14ac:dyDescent="0.25">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33"/>
      <c r="TD49" s="33"/>
      <c r="TE49" s="33"/>
      <c r="TF49" s="33"/>
      <c r="TG49" s="74"/>
      <c r="TH49" s="33"/>
      <c r="TI49" s="33"/>
      <c r="TJ49" s="33"/>
      <c r="TK49" s="33"/>
      <c r="TL49" s="33"/>
      <c r="TM49" s="136"/>
      <c r="TN49" s="33"/>
      <c r="TO49" s="33"/>
      <c r="TP49" s="33"/>
      <c r="TQ49" s="33"/>
      <c r="TR49" s="33"/>
      <c r="TS49" s="74"/>
      <c r="TT49" s="33"/>
      <c r="TU49" s="33"/>
      <c r="TV49" s="33"/>
      <c r="TW49" s="33"/>
      <c r="TX49" s="33"/>
      <c r="TY49" s="34"/>
      <c r="TZ49" s="90"/>
    </row>
    <row r="50" spans="486:546" x14ac:dyDescent="0.25">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90"/>
    </row>
    <row r="51" spans="486:546" x14ac:dyDescent="0.25">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90"/>
    </row>
    <row r="52" spans="486:546" x14ac:dyDescent="0.25">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90"/>
    </row>
    <row r="53" spans="486:546" x14ac:dyDescent="0.25">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90"/>
    </row>
    <row r="54" spans="486:546" x14ac:dyDescent="0.25">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90"/>
    </row>
    <row r="55" spans="486:546" x14ac:dyDescent="0.25">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90"/>
    </row>
    <row r="56" spans="486:546" x14ac:dyDescent="0.25">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90"/>
    </row>
    <row r="57" spans="486:546" x14ac:dyDescent="0.25">
      <c r="RR57" s="32"/>
      <c r="RS57" s="64"/>
      <c r="RT57" s="64"/>
      <c r="RU57" s="64"/>
      <c r="RV57" s="33"/>
      <c r="RW57" s="131"/>
      <c r="RX57" s="33"/>
      <c r="RY57" s="33"/>
      <c r="RZ57" s="33"/>
      <c r="SA57" s="33"/>
      <c r="SB57" s="33"/>
      <c r="SC57" s="136"/>
      <c r="SD57" s="33"/>
      <c r="SE57" s="33"/>
      <c r="SF57" s="33"/>
      <c r="SG57" s="33"/>
      <c r="SH57" s="33"/>
      <c r="SI57" s="74"/>
      <c r="SJ57" s="33"/>
      <c r="SK57" s="33"/>
      <c r="SL57" s="33"/>
      <c r="SM57" s="33"/>
      <c r="SN57" s="33"/>
      <c r="SO57" s="136"/>
      <c r="SP57" s="33"/>
      <c r="SQ57" s="33"/>
      <c r="SR57" s="33"/>
      <c r="SS57" s="33"/>
      <c r="ST57" s="33"/>
      <c r="SU57" s="74"/>
      <c r="SV57" s="64"/>
      <c r="SW57" s="64"/>
      <c r="SX57" s="64"/>
      <c r="SY57" s="64"/>
      <c r="SZ57" s="33"/>
      <c r="TA57" s="136"/>
      <c r="TB57" s="33"/>
      <c r="TC57" s="33"/>
      <c r="TD57" s="33"/>
      <c r="TE57" s="33"/>
      <c r="TF57" s="33"/>
      <c r="TG57" s="74"/>
      <c r="TH57" s="33"/>
      <c r="TI57" s="33"/>
      <c r="TJ57" s="33"/>
      <c r="TK57" s="33"/>
      <c r="TL57" s="33"/>
      <c r="TM57" s="136"/>
      <c r="TN57" s="33"/>
      <c r="TO57" s="33"/>
      <c r="TP57" s="33"/>
      <c r="TQ57" s="33"/>
      <c r="TR57" s="33"/>
      <c r="TS57" s="74"/>
      <c r="TT57" s="33"/>
      <c r="TU57" s="33"/>
      <c r="TV57" s="33"/>
      <c r="TW57" s="33"/>
      <c r="TX57" s="33"/>
      <c r="TY57" s="34"/>
      <c r="TZ57" s="90"/>
    </row>
    <row r="58" spans="486:546" x14ac:dyDescent="0.25">
      <c r="RR58" s="36"/>
      <c r="RS58" s="65"/>
      <c r="RT58" s="65"/>
      <c r="RU58" s="65"/>
      <c r="RV58" s="37"/>
      <c r="RW58" s="132"/>
      <c r="RX58" s="37"/>
      <c r="RY58" s="37"/>
      <c r="RZ58" s="37"/>
      <c r="SA58" s="37"/>
      <c r="SB58" s="37"/>
      <c r="SC58" s="137"/>
      <c r="SD58" s="37"/>
      <c r="SE58" s="37"/>
      <c r="SF58" s="37"/>
      <c r="SG58" s="37"/>
      <c r="SH58" s="37"/>
      <c r="SI58" s="75"/>
      <c r="SJ58" s="37"/>
      <c r="SK58" s="37"/>
      <c r="SL58" s="37"/>
      <c r="SM58" s="37"/>
      <c r="SN58" s="37"/>
      <c r="SO58" s="137"/>
      <c r="SP58" s="37"/>
      <c r="SQ58" s="37"/>
      <c r="SR58" s="37"/>
      <c r="SS58" s="37"/>
      <c r="ST58" s="37"/>
      <c r="SU58" s="75"/>
      <c r="SV58" s="65"/>
      <c r="SW58" s="65"/>
      <c r="SX58" s="65"/>
      <c r="SY58" s="65"/>
      <c r="SZ58" s="37"/>
      <c r="TA58" s="137"/>
      <c r="TB58" s="37"/>
      <c r="TC58" s="37"/>
      <c r="TD58" s="37"/>
      <c r="TE58" s="37"/>
      <c r="TF58" s="37"/>
      <c r="TG58" s="75"/>
      <c r="TH58" s="37"/>
      <c r="TI58" s="37"/>
      <c r="TJ58" s="37"/>
      <c r="TK58" s="37"/>
      <c r="TL58" s="37"/>
      <c r="TM58" s="137"/>
      <c r="TN58" s="37"/>
      <c r="TO58" s="37"/>
      <c r="TP58" s="37"/>
      <c r="TQ58" s="37"/>
      <c r="TR58" s="37"/>
      <c r="TS58" s="75"/>
      <c r="TT58" s="37"/>
      <c r="TU58" s="37"/>
      <c r="TV58" s="37"/>
      <c r="TW58" s="37"/>
      <c r="TX58" s="37"/>
      <c r="TY58" s="38"/>
      <c r="TZ58" s="90"/>
    </row>
    <row r="59" spans="486:546" x14ac:dyDescent="0.25">
      <c r="RR59" s="40"/>
      <c r="RS59" s="66"/>
      <c r="RT59" s="66"/>
      <c r="RU59" s="66"/>
      <c r="RV59" s="41"/>
      <c r="RW59" s="133"/>
      <c r="RX59" s="41"/>
      <c r="RY59" s="41"/>
      <c r="RZ59" s="41"/>
      <c r="SA59" s="41"/>
      <c r="SB59" s="41"/>
      <c r="SC59" s="138"/>
      <c r="SD59" s="41"/>
      <c r="SE59" s="41"/>
      <c r="SF59" s="41"/>
      <c r="SG59" s="41"/>
      <c r="SH59" s="41"/>
      <c r="SI59" s="76"/>
      <c r="SJ59" s="41"/>
      <c r="SK59" s="41"/>
      <c r="SL59" s="41"/>
      <c r="SM59" s="41"/>
      <c r="SN59" s="41"/>
      <c r="SO59" s="138"/>
      <c r="SP59" s="41"/>
      <c r="SQ59" s="41"/>
      <c r="SR59" s="41"/>
      <c r="SS59" s="41"/>
      <c r="ST59" s="41"/>
      <c r="SU59" s="76"/>
      <c r="SV59" s="66"/>
      <c r="SW59" s="66"/>
      <c r="SX59" s="66"/>
      <c r="SY59" s="66"/>
      <c r="SZ59" s="41"/>
      <c r="TA59" s="138"/>
      <c r="TB59" s="41"/>
      <c r="TC59" s="41"/>
      <c r="TD59" s="41"/>
      <c r="TE59" s="41"/>
      <c r="TF59" s="41"/>
      <c r="TG59" s="76"/>
      <c r="TH59" s="41"/>
      <c r="TI59" s="41"/>
      <c r="TJ59" s="41"/>
      <c r="TK59" s="41"/>
      <c r="TL59" s="41"/>
      <c r="TM59" s="138"/>
      <c r="TN59" s="41"/>
      <c r="TO59" s="41"/>
      <c r="TP59" s="41"/>
      <c r="TQ59" s="41"/>
      <c r="TR59" s="41"/>
      <c r="TS59" s="76"/>
      <c r="TT59" s="41"/>
      <c r="TU59" s="41"/>
      <c r="TV59" s="41"/>
      <c r="TW59" s="41"/>
      <c r="TX59" s="41"/>
      <c r="TY59" s="42"/>
      <c r="TZ59" s="90"/>
    </row>
    <row r="60" spans="486:546" x14ac:dyDescent="0.25">
      <c r="RR60" s="28"/>
      <c r="RS60" s="67"/>
      <c r="RT60" s="67"/>
      <c r="RU60" s="67"/>
      <c r="RV60" s="29"/>
      <c r="RW60" s="130"/>
      <c r="RX60" s="29"/>
      <c r="RY60" s="29"/>
      <c r="RZ60" s="29"/>
      <c r="SA60" s="29"/>
      <c r="SB60" s="29"/>
      <c r="SC60" s="135"/>
      <c r="SD60" s="29"/>
      <c r="SE60" s="29"/>
      <c r="SF60" s="29"/>
      <c r="SG60" s="29"/>
      <c r="SH60" s="29"/>
      <c r="SI60" s="73"/>
      <c r="SJ60" s="29"/>
      <c r="SK60" s="29"/>
      <c r="SL60" s="29"/>
      <c r="SM60" s="29"/>
      <c r="SN60" s="29"/>
      <c r="SO60" s="135"/>
      <c r="SP60" s="29"/>
      <c r="SQ60" s="29"/>
      <c r="SR60" s="29"/>
      <c r="SS60" s="29"/>
      <c r="ST60" s="29"/>
      <c r="SU60" s="73"/>
      <c r="SV60" s="67"/>
      <c r="SW60" s="67"/>
      <c r="SX60" s="67"/>
      <c r="SY60" s="67"/>
      <c r="SZ60" s="29"/>
      <c r="TA60" s="135"/>
      <c r="TB60" s="29"/>
      <c r="TC60" s="29"/>
      <c r="TD60" s="29"/>
      <c r="TE60" s="29"/>
      <c r="TF60" s="29"/>
      <c r="TG60" s="73"/>
      <c r="TH60" s="29"/>
      <c r="TI60" s="29"/>
      <c r="TJ60" s="29"/>
      <c r="TK60" s="29"/>
      <c r="TL60" s="29"/>
      <c r="TM60" s="135"/>
      <c r="TN60" s="29"/>
      <c r="TO60" s="29"/>
      <c r="TP60" s="29"/>
      <c r="TQ60" s="29"/>
      <c r="TR60" s="29"/>
      <c r="TS60" s="73"/>
      <c r="TT60" s="29"/>
      <c r="TU60" s="29"/>
      <c r="TV60" s="29"/>
      <c r="TW60" s="29"/>
      <c r="TX60" s="29"/>
      <c r="TY60" s="30"/>
      <c r="TZ60" s="90"/>
    </row>
    <row r="61" spans="486:546" x14ac:dyDescent="0.25">
      <c r="RR61" s="32"/>
      <c r="RS61" s="64"/>
      <c r="RT61" s="64"/>
      <c r="RU61" s="64"/>
      <c r="RV61" s="33"/>
      <c r="RW61" s="131"/>
      <c r="RX61" s="33"/>
      <c r="RY61" s="33"/>
      <c r="RZ61" s="33"/>
      <c r="SA61" s="33"/>
      <c r="SB61" s="33"/>
      <c r="SC61" s="136"/>
      <c r="SD61" s="33"/>
      <c r="SE61" s="33"/>
      <c r="SF61" s="33"/>
      <c r="SG61" s="33"/>
      <c r="SH61" s="33"/>
      <c r="SI61" s="74"/>
      <c r="SJ61" s="33"/>
      <c r="SK61" s="33"/>
      <c r="SL61" s="33"/>
      <c r="SM61" s="33"/>
      <c r="SN61" s="33"/>
      <c r="SO61" s="136"/>
      <c r="SP61" s="33"/>
      <c r="SQ61" s="33"/>
      <c r="SR61" s="33"/>
      <c r="SS61" s="33"/>
      <c r="ST61" s="33"/>
      <c r="SU61" s="74"/>
      <c r="SV61" s="64"/>
      <c r="SW61" s="64"/>
      <c r="SX61" s="64"/>
      <c r="SY61" s="64"/>
      <c r="SZ61" s="33"/>
      <c r="TA61" s="136"/>
      <c r="TB61" s="33"/>
      <c r="TC61" s="33"/>
      <c r="TD61" s="33"/>
      <c r="TE61" s="33"/>
      <c r="TF61" s="33"/>
      <c r="TG61" s="74"/>
      <c r="TH61" s="33"/>
      <c r="TI61" s="33"/>
      <c r="TJ61" s="33"/>
      <c r="TK61" s="33"/>
      <c r="TL61" s="33"/>
      <c r="TM61" s="136"/>
      <c r="TN61" s="33"/>
      <c r="TO61" s="33"/>
      <c r="TP61" s="33"/>
      <c r="TQ61" s="33"/>
      <c r="TR61" s="33"/>
      <c r="TS61" s="74"/>
      <c r="TT61" s="33"/>
      <c r="TU61" s="33"/>
      <c r="TV61" s="33"/>
      <c r="TW61" s="33"/>
      <c r="TX61" s="33"/>
      <c r="TY61" s="34"/>
      <c r="TZ61" s="90"/>
    </row>
    <row r="62" spans="486:546" x14ac:dyDescent="0.25">
      <c r="RR62" s="36"/>
      <c r="RS62" s="65"/>
      <c r="RT62" s="65"/>
      <c r="RU62" s="65"/>
      <c r="RV62" s="37"/>
      <c r="RW62" s="132"/>
      <c r="RX62" s="37"/>
      <c r="RY62" s="37"/>
      <c r="RZ62" s="37"/>
      <c r="SA62" s="37"/>
      <c r="SB62" s="37"/>
      <c r="SC62" s="137"/>
      <c r="SD62" s="37"/>
      <c r="SE62" s="37"/>
      <c r="SF62" s="37"/>
      <c r="SG62" s="37"/>
      <c r="SH62" s="37"/>
      <c r="SI62" s="75"/>
      <c r="SJ62" s="37"/>
      <c r="SK62" s="37"/>
      <c r="SL62" s="37"/>
      <c r="SM62" s="37"/>
      <c r="SN62" s="37"/>
      <c r="SO62" s="137"/>
      <c r="SP62" s="37"/>
      <c r="SQ62" s="37"/>
      <c r="SR62" s="37"/>
      <c r="SS62" s="37"/>
      <c r="ST62" s="37"/>
      <c r="SU62" s="75"/>
      <c r="SV62" s="65"/>
      <c r="SW62" s="65"/>
      <c r="SX62" s="65"/>
      <c r="SY62" s="65"/>
      <c r="SZ62" s="37"/>
      <c r="TA62" s="137"/>
      <c r="TB62" s="37"/>
      <c r="TC62" s="37"/>
      <c r="TD62" s="37"/>
      <c r="TE62" s="37"/>
      <c r="TF62" s="37"/>
      <c r="TG62" s="75"/>
      <c r="TH62" s="37"/>
      <c r="TI62" s="37"/>
      <c r="TJ62" s="37"/>
      <c r="TK62" s="37"/>
      <c r="TL62" s="37"/>
      <c r="TM62" s="137"/>
      <c r="TN62" s="37"/>
      <c r="TO62" s="37"/>
      <c r="TP62" s="37"/>
      <c r="TQ62" s="37"/>
      <c r="TR62" s="37"/>
      <c r="TS62" s="75"/>
      <c r="TT62" s="37"/>
      <c r="TU62" s="37"/>
      <c r="TV62" s="37"/>
      <c r="TW62" s="37"/>
      <c r="TX62" s="37"/>
      <c r="TY62" s="38"/>
      <c r="TZ62" s="90"/>
    </row>
    <row r="63" spans="486:546" x14ac:dyDescent="0.25">
      <c r="RR63" s="40"/>
      <c r="RS63" s="66"/>
      <c r="RT63" s="66"/>
      <c r="RU63" s="66"/>
      <c r="RV63" s="41"/>
      <c r="RW63" s="133"/>
      <c r="RX63" s="41"/>
      <c r="RY63" s="41"/>
      <c r="RZ63" s="41"/>
      <c r="SA63" s="41"/>
      <c r="SB63" s="41"/>
      <c r="SC63" s="138"/>
      <c r="SD63" s="41"/>
      <c r="SE63" s="41"/>
      <c r="SF63" s="41"/>
      <c r="SG63" s="41"/>
      <c r="SH63" s="41"/>
      <c r="SI63" s="76"/>
      <c r="SJ63" s="41"/>
      <c r="SK63" s="41"/>
      <c r="SL63" s="41"/>
      <c r="SM63" s="41"/>
      <c r="SN63" s="41"/>
      <c r="SO63" s="138"/>
      <c r="SP63" s="41"/>
      <c r="SQ63" s="41"/>
      <c r="SR63" s="41"/>
      <c r="SS63" s="41"/>
      <c r="ST63" s="41"/>
      <c r="SU63" s="76"/>
      <c r="SV63" s="66"/>
      <c r="SW63" s="66"/>
      <c r="SX63" s="66"/>
      <c r="SY63" s="66"/>
      <c r="SZ63" s="41"/>
      <c r="TA63" s="138"/>
      <c r="TB63" s="41"/>
      <c r="TC63" s="41"/>
      <c r="TD63" s="41"/>
      <c r="TE63" s="41"/>
      <c r="TF63" s="41"/>
      <c r="TG63" s="76"/>
      <c r="TH63" s="41"/>
      <c r="TI63" s="41"/>
      <c r="TJ63" s="41"/>
      <c r="TK63" s="41"/>
      <c r="TL63" s="41"/>
      <c r="TM63" s="138"/>
      <c r="TN63" s="41"/>
      <c r="TO63" s="41"/>
      <c r="TP63" s="41"/>
      <c r="TQ63" s="41"/>
      <c r="TR63" s="41"/>
      <c r="TS63" s="76"/>
      <c r="TT63" s="41"/>
      <c r="TU63" s="41"/>
      <c r="TV63" s="41"/>
      <c r="TW63" s="41"/>
      <c r="TX63" s="41"/>
      <c r="TY63" s="42"/>
      <c r="TZ63" s="90"/>
    </row>
    <row r="64" spans="486:546" x14ac:dyDescent="0.25">
      <c r="RR64" s="28"/>
      <c r="RS64" s="67"/>
      <c r="RT64" s="67"/>
      <c r="RU64" s="67"/>
      <c r="RV64" s="29"/>
      <c r="RW64" s="130"/>
      <c r="RX64" s="29"/>
      <c r="RY64" s="29"/>
      <c r="RZ64" s="29"/>
      <c r="SA64" s="29"/>
      <c r="SB64" s="29"/>
      <c r="SC64" s="135"/>
      <c r="SD64" s="29"/>
      <c r="SE64" s="29"/>
      <c r="SF64" s="29"/>
      <c r="SG64" s="29"/>
      <c r="SH64" s="29"/>
      <c r="SI64" s="73"/>
      <c r="SJ64" s="29"/>
      <c r="SK64" s="29"/>
      <c r="SL64" s="29"/>
      <c r="SM64" s="29"/>
      <c r="SN64" s="29"/>
      <c r="SO64" s="135"/>
      <c r="SP64" s="29"/>
      <c r="SQ64" s="29"/>
      <c r="SR64" s="29"/>
      <c r="SS64" s="29"/>
      <c r="ST64" s="29"/>
      <c r="SU64" s="73"/>
      <c r="SV64" s="67"/>
      <c r="SW64" s="67"/>
      <c r="SX64" s="67"/>
      <c r="SY64" s="67"/>
      <c r="SZ64" s="29"/>
      <c r="TA64" s="135"/>
      <c r="TB64" s="29"/>
      <c r="TC64" s="29"/>
      <c r="TD64" s="29"/>
      <c r="TE64" s="29"/>
      <c r="TF64" s="29"/>
      <c r="TG64" s="73"/>
      <c r="TH64" s="29"/>
      <c r="TI64" s="29"/>
      <c r="TJ64" s="29"/>
      <c r="TK64" s="29"/>
      <c r="TL64" s="29"/>
      <c r="TM64" s="135"/>
      <c r="TN64" s="29"/>
      <c r="TO64" s="29"/>
      <c r="TP64" s="29"/>
      <c r="TQ64" s="29"/>
      <c r="TR64" s="29"/>
      <c r="TS64" s="73"/>
      <c r="TT64" s="29"/>
      <c r="TU64" s="29"/>
      <c r="TV64" s="29"/>
      <c r="TW64" s="29"/>
      <c r="TX64" s="29"/>
      <c r="TY64" s="30"/>
      <c r="TZ64" s="90"/>
    </row>
    <row r="65" spans="486:546" x14ac:dyDescent="0.25">
      <c r="RR65" s="32"/>
      <c r="RS65" s="64"/>
      <c r="RT65" s="64"/>
      <c r="RU65" s="64"/>
      <c r="RV65" s="33"/>
      <c r="RW65" s="131"/>
      <c r="RX65" s="33"/>
      <c r="RY65" s="33"/>
      <c r="RZ65" s="33"/>
      <c r="SA65" s="33"/>
      <c r="SB65" s="33"/>
      <c r="SC65" s="136"/>
      <c r="SD65" s="33"/>
      <c r="SE65" s="33"/>
      <c r="SF65" s="33"/>
      <c r="SG65" s="33"/>
      <c r="SH65" s="33"/>
      <c r="SI65" s="74"/>
      <c r="SJ65" s="33"/>
      <c r="SK65" s="33"/>
      <c r="SL65" s="33"/>
      <c r="SM65" s="33"/>
      <c r="SN65" s="33"/>
      <c r="SO65" s="136"/>
      <c r="SP65" s="33"/>
      <c r="SQ65" s="33"/>
      <c r="SR65" s="33"/>
      <c r="SS65" s="33"/>
      <c r="ST65" s="33"/>
      <c r="SU65" s="74"/>
      <c r="SV65" s="64"/>
      <c r="SW65" s="64"/>
      <c r="SX65" s="64"/>
      <c r="SY65" s="64"/>
      <c r="SZ65" s="33"/>
      <c r="TA65" s="136"/>
      <c r="TB65" s="33"/>
      <c r="TC65" s="33"/>
      <c r="TD65" s="33"/>
      <c r="TE65" s="33"/>
      <c r="TF65" s="33"/>
      <c r="TG65" s="74"/>
      <c r="TH65" s="33"/>
      <c r="TI65" s="33"/>
      <c r="TJ65" s="33"/>
      <c r="TK65" s="33"/>
      <c r="TL65" s="33"/>
      <c r="TM65" s="136"/>
      <c r="TN65" s="33"/>
      <c r="TO65" s="33"/>
      <c r="TP65" s="33"/>
      <c r="TQ65" s="33"/>
      <c r="TR65" s="33"/>
      <c r="TS65" s="74"/>
      <c r="TT65" s="33"/>
      <c r="TU65" s="33"/>
      <c r="TV65" s="33"/>
      <c r="TW65" s="33"/>
      <c r="TX65" s="33"/>
      <c r="TY65" s="34"/>
      <c r="TZ65" s="90"/>
    </row>
    <row r="66" spans="486:546" x14ac:dyDescent="0.25">
      <c r="RR66" s="36"/>
      <c r="RS66" s="65"/>
      <c r="RT66" s="65"/>
      <c r="RU66" s="65"/>
      <c r="RV66" s="37"/>
      <c r="RW66" s="132"/>
      <c r="RX66" s="37"/>
      <c r="RY66" s="37"/>
      <c r="RZ66" s="37"/>
      <c r="SA66" s="37"/>
      <c r="SB66" s="37"/>
      <c r="SC66" s="137"/>
      <c r="SD66" s="37"/>
      <c r="SE66" s="37"/>
      <c r="SF66" s="37"/>
      <c r="SG66" s="37"/>
      <c r="SH66" s="37"/>
      <c r="SI66" s="75"/>
      <c r="SJ66" s="37"/>
      <c r="SK66" s="37"/>
      <c r="SL66" s="37"/>
      <c r="SM66" s="37"/>
      <c r="SN66" s="37"/>
      <c r="SO66" s="137"/>
      <c r="SP66" s="37"/>
      <c r="SQ66" s="37"/>
      <c r="SR66" s="37"/>
      <c r="SS66" s="37"/>
      <c r="ST66" s="37"/>
      <c r="SU66" s="75"/>
      <c r="SV66" s="65"/>
      <c r="SW66" s="65"/>
      <c r="SX66" s="65"/>
      <c r="SY66" s="65"/>
      <c r="SZ66" s="37"/>
      <c r="TA66" s="137"/>
      <c r="TB66" s="37"/>
      <c r="TC66" s="37"/>
      <c r="TD66" s="37"/>
      <c r="TE66" s="37"/>
      <c r="TF66" s="37"/>
      <c r="TG66" s="75"/>
      <c r="TH66" s="37"/>
      <c r="TI66" s="37"/>
      <c r="TJ66" s="37"/>
      <c r="TK66" s="37"/>
      <c r="TL66" s="37"/>
      <c r="TM66" s="137"/>
      <c r="TN66" s="37"/>
      <c r="TO66" s="37"/>
      <c r="TP66" s="37"/>
      <c r="TQ66" s="37"/>
      <c r="TR66" s="37"/>
      <c r="TS66" s="75"/>
      <c r="TT66" s="37"/>
      <c r="TU66" s="37"/>
      <c r="TV66" s="37"/>
      <c r="TW66" s="37"/>
      <c r="TX66" s="37"/>
      <c r="TY66" s="38"/>
      <c r="TZ66" s="90"/>
    </row>
    <row r="67" spans="486:546" x14ac:dyDescent="0.25">
      <c r="RR67" s="40"/>
      <c r="RS67" s="66"/>
      <c r="RT67" s="66"/>
      <c r="RU67" s="66"/>
      <c r="RV67" s="41"/>
      <c r="RW67" s="133"/>
      <c r="RX67" s="41"/>
      <c r="RY67" s="41"/>
      <c r="RZ67" s="41"/>
      <c r="SA67" s="41"/>
      <c r="SB67" s="41"/>
      <c r="SC67" s="138"/>
      <c r="SD67" s="41"/>
      <c r="SE67" s="41"/>
      <c r="SF67" s="41"/>
      <c r="SG67" s="41"/>
      <c r="SH67" s="41"/>
      <c r="SI67" s="76"/>
      <c r="SJ67" s="41"/>
      <c r="SK67" s="41"/>
      <c r="SL67" s="41"/>
      <c r="SM67" s="41"/>
      <c r="SN67" s="41"/>
      <c r="SO67" s="138"/>
      <c r="SP67" s="41"/>
      <c r="SQ67" s="41"/>
      <c r="SR67" s="41"/>
      <c r="SS67" s="41"/>
      <c r="ST67" s="41"/>
      <c r="SU67" s="76"/>
      <c r="SV67" s="66"/>
      <c r="SW67" s="66"/>
      <c r="SX67" s="66"/>
      <c r="SY67" s="66"/>
      <c r="SZ67" s="41"/>
      <c r="TA67" s="138"/>
      <c r="TB67" s="41"/>
      <c r="TC67" s="41"/>
      <c r="TD67" s="41"/>
      <c r="TE67" s="41"/>
      <c r="TF67" s="41"/>
      <c r="TG67" s="76"/>
      <c r="TH67" s="41"/>
      <c r="TI67" s="41"/>
      <c r="TJ67" s="41"/>
      <c r="TK67" s="41"/>
      <c r="TL67" s="41"/>
      <c r="TM67" s="138"/>
      <c r="TN67" s="41"/>
      <c r="TO67" s="41"/>
      <c r="TP67" s="41"/>
      <c r="TQ67" s="41"/>
      <c r="TR67" s="41"/>
      <c r="TS67" s="76"/>
      <c r="TT67" s="41"/>
      <c r="TU67" s="41"/>
      <c r="TV67" s="41"/>
      <c r="TW67" s="41"/>
      <c r="TX67" s="41"/>
      <c r="TY67" s="42"/>
      <c r="TZ67" s="90"/>
    </row>
    <row r="68" spans="486:546" x14ac:dyDescent="0.25">
      <c r="RR68" s="28"/>
      <c r="RS68" s="67"/>
      <c r="RT68" s="67"/>
      <c r="RU68" s="67"/>
      <c r="RV68" s="29"/>
      <c r="RW68" s="130"/>
      <c r="RX68" s="29"/>
      <c r="RY68" s="29"/>
      <c r="RZ68" s="29"/>
      <c r="SA68" s="29"/>
      <c r="SB68" s="29"/>
      <c r="SC68" s="135"/>
      <c r="SD68" s="29"/>
      <c r="SE68" s="29"/>
      <c r="SF68" s="29"/>
      <c r="SG68" s="29"/>
      <c r="SH68" s="29"/>
      <c r="SI68" s="73"/>
      <c r="SJ68" s="29"/>
      <c r="SK68" s="29"/>
      <c r="SL68" s="29"/>
      <c r="SM68" s="29"/>
      <c r="SN68" s="29"/>
      <c r="SO68" s="135"/>
      <c r="SP68" s="29"/>
      <c r="SQ68" s="29"/>
      <c r="SR68" s="29"/>
      <c r="SS68" s="29"/>
      <c r="ST68" s="29"/>
      <c r="SU68" s="73"/>
      <c r="SV68" s="67"/>
      <c r="SW68" s="67"/>
      <c r="SX68" s="67"/>
      <c r="SY68" s="67"/>
      <c r="SZ68" s="29"/>
      <c r="TA68" s="135"/>
      <c r="TB68" s="29"/>
      <c r="TC68" s="29"/>
      <c r="TD68" s="29"/>
      <c r="TE68" s="29"/>
      <c r="TF68" s="29"/>
      <c r="TG68" s="73"/>
      <c r="TH68" s="29"/>
      <c r="TI68" s="29"/>
      <c r="TJ68" s="29"/>
      <c r="TK68" s="29"/>
      <c r="TL68" s="29"/>
      <c r="TM68" s="135"/>
      <c r="TN68" s="29"/>
      <c r="TO68" s="29"/>
      <c r="TP68" s="29"/>
      <c r="TQ68" s="29"/>
      <c r="TR68" s="29"/>
      <c r="TS68" s="73"/>
      <c r="TT68" s="29"/>
      <c r="TU68" s="29"/>
      <c r="TV68" s="29"/>
      <c r="TW68" s="29"/>
      <c r="TX68" s="29"/>
      <c r="TY68" s="30"/>
      <c r="TZ68" s="90"/>
    </row>
    <row r="69" spans="486:546" x14ac:dyDescent="0.25">
      <c r="RR69" s="32"/>
      <c r="RS69" s="64"/>
      <c r="RT69" s="64"/>
      <c r="RU69" s="64"/>
      <c r="RV69" s="33"/>
      <c r="RW69" s="131"/>
      <c r="RX69" s="33"/>
      <c r="RY69" s="33"/>
      <c r="RZ69" s="33"/>
      <c r="SA69" s="33"/>
      <c r="SB69" s="33"/>
      <c r="SC69" s="136"/>
      <c r="SD69" s="33"/>
      <c r="SE69" s="33"/>
      <c r="SF69" s="33"/>
      <c r="SG69" s="33"/>
      <c r="SH69" s="33"/>
      <c r="SI69" s="74"/>
      <c r="SJ69" s="33"/>
      <c r="SK69" s="33"/>
      <c r="SL69" s="33"/>
      <c r="SM69" s="33"/>
      <c r="SN69" s="33"/>
      <c r="SO69" s="136"/>
      <c r="SP69" s="33"/>
      <c r="SQ69" s="33"/>
      <c r="SR69" s="33"/>
      <c r="SS69" s="33"/>
      <c r="ST69" s="33"/>
      <c r="SU69" s="74"/>
      <c r="SV69" s="64"/>
      <c r="SW69" s="64"/>
      <c r="SX69" s="64"/>
      <c r="SY69" s="64"/>
      <c r="SZ69" s="33"/>
      <c r="TA69" s="136"/>
      <c r="TB69" s="33"/>
      <c r="TC69" s="33"/>
      <c r="TD69" s="33"/>
      <c r="TE69" s="33"/>
      <c r="TF69" s="33"/>
      <c r="TG69" s="74"/>
      <c r="TH69" s="33"/>
      <c r="TI69" s="33"/>
      <c r="TJ69" s="33"/>
      <c r="TK69" s="33"/>
      <c r="TL69" s="33"/>
      <c r="TM69" s="136"/>
      <c r="TN69" s="33"/>
      <c r="TO69" s="33"/>
      <c r="TP69" s="33"/>
      <c r="TQ69" s="33"/>
      <c r="TR69" s="33"/>
      <c r="TS69" s="74"/>
      <c r="TT69" s="33"/>
      <c r="TU69" s="33"/>
      <c r="TV69" s="33"/>
      <c r="TW69" s="33"/>
      <c r="TX69" s="33"/>
      <c r="TY69" s="34"/>
      <c r="TZ69" s="90"/>
    </row>
    <row r="70" spans="486:546" x14ac:dyDescent="0.25">
      <c r="RR70" s="36"/>
      <c r="RS70" s="65"/>
      <c r="RT70" s="65"/>
      <c r="RU70" s="65"/>
      <c r="RV70" s="37"/>
      <c r="RW70" s="132"/>
      <c r="RX70" s="37"/>
      <c r="RY70" s="37"/>
      <c r="RZ70" s="37"/>
      <c r="SA70" s="37"/>
      <c r="SB70" s="37"/>
      <c r="SC70" s="137"/>
      <c r="SD70" s="37"/>
      <c r="SE70" s="37"/>
      <c r="SF70" s="37"/>
      <c r="SG70" s="37"/>
      <c r="SH70" s="37"/>
      <c r="SI70" s="75"/>
      <c r="SJ70" s="37"/>
      <c r="SK70" s="37"/>
      <c r="SL70" s="37"/>
      <c r="SM70" s="37"/>
      <c r="SN70" s="37"/>
      <c r="SO70" s="137"/>
      <c r="SP70" s="37"/>
      <c r="SQ70" s="37"/>
      <c r="SR70" s="37"/>
      <c r="SS70" s="37"/>
      <c r="ST70" s="37"/>
      <c r="SU70" s="75"/>
      <c r="SV70" s="65"/>
      <c r="SW70" s="65"/>
      <c r="SX70" s="65"/>
      <c r="SY70" s="65"/>
      <c r="SZ70" s="37"/>
      <c r="TA70" s="137"/>
      <c r="TB70" s="37"/>
      <c r="TC70" s="37"/>
      <c r="TD70" s="37"/>
      <c r="TE70" s="37"/>
      <c r="TF70" s="37"/>
      <c r="TG70" s="75"/>
      <c r="TH70" s="37"/>
      <c r="TI70" s="37"/>
      <c r="TJ70" s="37"/>
      <c r="TK70" s="37"/>
      <c r="TL70" s="37"/>
      <c r="TM70" s="137"/>
      <c r="TN70" s="37"/>
      <c r="TO70" s="37"/>
      <c r="TP70" s="37"/>
      <c r="TQ70" s="37"/>
      <c r="TR70" s="37"/>
      <c r="TS70" s="75"/>
      <c r="TT70" s="37"/>
      <c r="TU70" s="37"/>
      <c r="TV70" s="37"/>
      <c r="TW70" s="37"/>
      <c r="TX70" s="37"/>
      <c r="TY70" s="38"/>
      <c r="TZ70" s="90"/>
    </row>
    <row r="71" spans="486:546" x14ac:dyDescent="0.25">
      <c r="RR71" s="40"/>
      <c r="RS71" s="66"/>
      <c r="RT71" s="66"/>
      <c r="RU71" s="66"/>
      <c r="RV71" s="41"/>
      <c r="RW71" s="133"/>
      <c r="RX71" s="41"/>
      <c r="RY71" s="41"/>
      <c r="RZ71" s="41"/>
      <c r="SA71" s="41"/>
      <c r="SB71" s="41"/>
      <c r="SC71" s="138"/>
      <c r="SD71" s="41"/>
      <c r="SE71" s="41"/>
      <c r="SF71" s="41"/>
      <c r="SG71" s="41"/>
      <c r="SH71" s="41"/>
      <c r="SI71" s="76"/>
      <c r="SJ71" s="41"/>
      <c r="SK71" s="41"/>
      <c r="SL71" s="41"/>
      <c r="SM71" s="41"/>
      <c r="SN71" s="41"/>
      <c r="SO71" s="138"/>
      <c r="SP71" s="41"/>
      <c r="SQ71" s="41"/>
      <c r="SR71" s="41"/>
      <c r="SS71" s="41"/>
      <c r="ST71" s="41"/>
      <c r="SU71" s="76"/>
      <c r="SV71" s="66"/>
      <c r="SW71" s="66"/>
      <c r="SX71" s="66"/>
      <c r="SY71" s="66"/>
      <c r="SZ71" s="41"/>
      <c r="TA71" s="138"/>
      <c r="TB71" s="41"/>
      <c r="TC71" s="41"/>
      <c r="TD71" s="41"/>
      <c r="TE71" s="41"/>
      <c r="TF71" s="41"/>
      <c r="TG71" s="76"/>
      <c r="TH71" s="41"/>
      <c r="TI71" s="41"/>
      <c r="TJ71" s="41"/>
      <c r="TK71" s="41"/>
      <c r="TL71" s="41"/>
      <c r="TM71" s="138"/>
      <c r="TN71" s="41"/>
      <c r="TO71" s="41"/>
      <c r="TP71" s="41"/>
      <c r="TQ71" s="41"/>
      <c r="TR71" s="41"/>
      <c r="TS71" s="76"/>
      <c r="TT71" s="41"/>
      <c r="TU71" s="41"/>
      <c r="TV71" s="41"/>
      <c r="TW71" s="41"/>
      <c r="TX71" s="41"/>
      <c r="TY71" s="42"/>
      <c r="TZ71" s="90"/>
    </row>
    <row r="72" spans="486:546" x14ac:dyDescent="0.25">
      <c r="RR72" s="28"/>
      <c r="RS72" s="67"/>
      <c r="RT72" s="67"/>
      <c r="RU72" s="67"/>
      <c r="RV72" s="29"/>
      <c r="RW72" s="130"/>
      <c r="RX72" s="29"/>
      <c r="RY72" s="29"/>
      <c r="RZ72" s="29"/>
      <c r="SA72" s="29"/>
      <c r="SB72" s="29"/>
      <c r="SC72" s="135"/>
      <c r="SD72" s="29"/>
      <c r="SE72" s="29"/>
      <c r="SF72" s="29"/>
      <c r="SG72" s="29"/>
      <c r="SH72" s="29"/>
      <c r="SI72" s="73"/>
      <c r="SJ72" s="29"/>
      <c r="SK72" s="29"/>
      <c r="SL72" s="29"/>
      <c r="SM72" s="29"/>
      <c r="SN72" s="29"/>
      <c r="SO72" s="135"/>
      <c r="SP72" s="29"/>
      <c r="SQ72" s="29"/>
      <c r="SR72" s="29"/>
      <c r="SS72" s="29"/>
      <c r="ST72" s="29"/>
      <c r="SU72" s="73"/>
      <c r="SV72" s="67"/>
      <c r="SW72" s="67"/>
      <c r="SX72" s="67"/>
      <c r="SY72" s="67"/>
      <c r="SZ72" s="29"/>
      <c r="TA72" s="135"/>
      <c r="TB72" s="29"/>
      <c r="TC72" s="29"/>
      <c r="TD72" s="29"/>
      <c r="TE72" s="29"/>
      <c r="TF72" s="29"/>
      <c r="TG72" s="73"/>
      <c r="TH72" s="29"/>
      <c r="TI72" s="29"/>
      <c r="TJ72" s="29"/>
      <c r="TK72" s="29"/>
      <c r="TL72" s="29"/>
      <c r="TM72" s="135"/>
      <c r="TN72" s="29"/>
      <c r="TO72" s="29"/>
      <c r="TP72" s="29"/>
      <c r="TQ72" s="29"/>
      <c r="TR72" s="29"/>
      <c r="TS72" s="73"/>
      <c r="TT72" s="29"/>
      <c r="TU72" s="29"/>
      <c r="TV72" s="29"/>
      <c r="TW72" s="29"/>
      <c r="TX72" s="29"/>
      <c r="TY72" s="30"/>
      <c r="TZ72" s="90"/>
    </row>
    <row r="73" spans="486:546" x14ac:dyDescent="0.25">
      <c r="RR73" s="32"/>
      <c r="RS73" s="64"/>
      <c r="RT73" s="64"/>
      <c r="RU73" s="64"/>
      <c r="RV73" s="33"/>
      <c r="RW73" s="131"/>
      <c r="RX73" s="33"/>
      <c r="RY73" s="33"/>
      <c r="RZ73" s="33"/>
      <c r="SA73" s="33"/>
      <c r="SB73" s="33"/>
      <c r="SC73" s="136"/>
      <c r="SD73" s="33"/>
      <c r="SE73" s="33"/>
      <c r="SF73" s="33"/>
      <c r="SG73" s="33"/>
      <c r="SH73" s="33"/>
      <c r="SI73" s="74"/>
      <c r="SJ73" s="33"/>
      <c r="SK73" s="33"/>
      <c r="SL73" s="33"/>
      <c r="SM73" s="33"/>
      <c r="SN73" s="33"/>
      <c r="SO73" s="136"/>
      <c r="SP73" s="33"/>
      <c r="SQ73" s="33"/>
      <c r="SR73" s="33"/>
      <c r="SS73" s="33"/>
      <c r="ST73" s="33"/>
      <c r="SU73" s="74"/>
      <c r="SV73" s="64"/>
      <c r="SW73" s="64"/>
      <c r="SX73" s="64"/>
      <c r="SY73" s="64"/>
      <c r="SZ73" s="33"/>
      <c r="TA73" s="136"/>
      <c r="TB73" s="33"/>
      <c r="TC73" s="33"/>
      <c r="TD73" s="33"/>
      <c r="TE73" s="33"/>
      <c r="TF73" s="33"/>
      <c r="TG73" s="74"/>
      <c r="TH73" s="33"/>
      <c r="TI73" s="33"/>
      <c r="TJ73" s="33"/>
      <c r="TK73" s="33"/>
      <c r="TL73" s="33"/>
      <c r="TM73" s="136"/>
      <c r="TN73" s="33"/>
      <c r="TO73" s="33"/>
      <c r="TP73" s="33"/>
      <c r="TQ73" s="33"/>
      <c r="TR73" s="33"/>
      <c r="TS73" s="74"/>
      <c r="TT73" s="33"/>
      <c r="TU73" s="33"/>
      <c r="TV73" s="33"/>
      <c r="TW73" s="33"/>
      <c r="TX73" s="33"/>
      <c r="TY73" s="34"/>
      <c r="TZ73" s="90"/>
    </row>
    <row r="74" spans="486:546" x14ac:dyDescent="0.25">
      <c r="RR74" s="36"/>
      <c r="RS74" s="65"/>
      <c r="RT74" s="65"/>
      <c r="RU74" s="65"/>
      <c r="RV74" s="37"/>
      <c r="RW74" s="132"/>
      <c r="RX74" s="37"/>
      <c r="RY74" s="37"/>
      <c r="RZ74" s="37"/>
      <c r="SA74" s="37"/>
      <c r="SB74" s="37"/>
      <c r="SC74" s="137"/>
      <c r="SD74" s="37"/>
      <c r="SE74" s="37"/>
      <c r="SF74" s="37"/>
      <c r="SG74" s="37"/>
      <c r="SH74" s="37"/>
      <c r="SI74" s="75"/>
      <c r="SJ74" s="37"/>
      <c r="SK74" s="37"/>
      <c r="SL74" s="37"/>
      <c r="SM74" s="37"/>
      <c r="SN74" s="37"/>
      <c r="SO74" s="137"/>
      <c r="SP74" s="37"/>
      <c r="SQ74" s="37"/>
      <c r="SR74" s="37"/>
      <c r="SS74" s="37"/>
      <c r="ST74" s="37"/>
      <c r="SU74" s="75"/>
      <c r="SV74" s="65"/>
      <c r="SW74" s="65"/>
      <c r="SX74" s="65"/>
      <c r="SY74" s="65"/>
      <c r="SZ74" s="37"/>
      <c r="TA74" s="137"/>
      <c r="TB74" s="37"/>
      <c r="TC74" s="37"/>
      <c r="TD74" s="37"/>
      <c r="TE74" s="37"/>
      <c r="TF74" s="37"/>
      <c r="TG74" s="75"/>
      <c r="TH74" s="37"/>
      <c r="TI74" s="37"/>
      <c r="TJ74" s="37"/>
      <c r="TK74" s="37"/>
      <c r="TL74" s="37"/>
      <c r="TM74" s="137"/>
      <c r="TN74" s="37"/>
      <c r="TO74" s="37"/>
      <c r="TP74" s="37"/>
      <c r="TQ74" s="37"/>
      <c r="TR74" s="37"/>
      <c r="TS74" s="75"/>
      <c r="TT74" s="37"/>
      <c r="TU74" s="37"/>
      <c r="TV74" s="37"/>
      <c r="TW74" s="37"/>
      <c r="TX74" s="37"/>
      <c r="TY74" s="38"/>
      <c r="TZ74" s="90"/>
    </row>
    <row r="75" spans="486:546" x14ac:dyDescent="0.25">
      <c r="RR75" s="32"/>
      <c r="RS75" s="64"/>
      <c r="RT75" s="64"/>
      <c r="RU75" s="64"/>
      <c r="RV75" s="33"/>
      <c r="RW75" s="131"/>
      <c r="RX75" s="33"/>
      <c r="RY75" s="33"/>
      <c r="RZ75" s="33"/>
      <c r="SA75" s="33"/>
      <c r="SB75" s="33"/>
      <c r="SC75" s="136"/>
      <c r="SD75" s="33"/>
      <c r="SE75" s="33"/>
      <c r="SF75" s="33"/>
      <c r="SG75" s="33"/>
      <c r="SH75" s="33"/>
      <c r="SI75" s="74"/>
      <c r="SJ75" s="33"/>
      <c r="SK75" s="33"/>
      <c r="SL75" s="33"/>
      <c r="SM75" s="33"/>
      <c r="SN75" s="33"/>
      <c r="SO75" s="136"/>
      <c r="SP75" s="33"/>
      <c r="SQ75" s="33"/>
      <c r="SR75" s="33"/>
      <c r="SS75" s="33"/>
      <c r="ST75" s="33"/>
      <c r="SU75" s="74"/>
      <c r="SV75" s="64"/>
      <c r="SW75" s="64"/>
      <c r="SX75" s="64"/>
      <c r="SY75" s="64"/>
      <c r="SZ75" s="33"/>
      <c r="TA75" s="136"/>
      <c r="TB75" s="33"/>
      <c r="TC75" s="33"/>
      <c r="TD75" s="33"/>
      <c r="TE75" s="33"/>
      <c r="TF75" s="33"/>
      <c r="TG75" s="74"/>
      <c r="TH75" s="33"/>
      <c r="TI75" s="33"/>
      <c r="TJ75" s="33"/>
      <c r="TK75" s="33"/>
      <c r="TL75" s="33"/>
      <c r="TM75" s="136"/>
      <c r="TN75" s="33"/>
      <c r="TO75" s="33"/>
      <c r="TP75" s="33"/>
      <c r="TQ75" s="33"/>
      <c r="TR75" s="33"/>
      <c r="TS75" s="74"/>
      <c r="TT75" s="33"/>
      <c r="TU75" s="33"/>
      <c r="TV75" s="33"/>
      <c r="TW75" s="33"/>
      <c r="TX75" s="33"/>
      <c r="TY75" s="34"/>
      <c r="TZ75" s="90"/>
    </row>
    <row r="76" spans="486:546" x14ac:dyDescent="0.25">
      <c r="RR76" s="36"/>
      <c r="RS76" s="65"/>
      <c r="RT76" s="65"/>
      <c r="RU76" s="65"/>
      <c r="RV76" s="37"/>
      <c r="RW76" s="132"/>
      <c r="RX76" s="37"/>
      <c r="RY76" s="37"/>
      <c r="RZ76" s="37"/>
      <c r="SA76" s="37"/>
      <c r="SB76" s="37"/>
      <c r="SC76" s="137"/>
      <c r="SD76" s="37"/>
      <c r="SE76" s="37"/>
      <c r="SF76" s="37"/>
      <c r="SG76" s="37"/>
      <c r="SH76" s="37"/>
      <c r="SI76" s="75"/>
      <c r="SJ76" s="37"/>
      <c r="SK76" s="37"/>
      <c r="SL76" s="37"/>
      <c r="SM76" s="37"/>
      <c r="SN76" s="37"/>
      <c r="SO76" s="137"/>
      <c r="SP76" s="37"/>
      <c r="SQ76" s="37"/>
      <c r="SR76" s="37"/>
      <c r="SS76" s="37"/>
      <c r="ST76" s="37"/>
      <c r="SU76" s="75"/>
      <c r="SV76" s="65"/>
      <c r="SW76" s="65"/>
      <c r="SX76" s="65"/>
      <c r="SY76" s="65"/>
      <c r="SZ76" s="37"/>
      <c r="TA76" s="137"/>
      <c r="TB76" s="37"/>
      <c r="TC76" s="37"/>
      <c r="TD76" s="37"/>
      <c r="TE76" s="37"/>
      <c r="TF76" s="37"/>
      <c r="TG76" s="75"/>
      <c r="TH76" s="37"/>
      <c r="TI76" s="37"/>
      <c r="TJ76" s="37"/>
      <c r="TK76" s="37"/>
      <c r="TL76" s="37"/>
      <c r="TM76" s="137"/>
      <c r="TN76" s="37"/>
      <c r="TO76" s="37"/>
      <c r="TP76" s="37"/>
      <c r="TQ76" s="37"/>
      <c r="TR76" s="37"/>
      <c r="TS76" s="75"/>
      <c r="TT76" s="37"/>
      <c r="TU76" s="37"/>
      <c r="TV76" s="37"/>
      <c r="TW76" s="37"/>
      <c r="TX76" s="37"/>
      <c r="TY76" s="38"/>
      <c r="TZ76" s="90"/>
    </row>
    <row r="77" spans="486:546" x14ac:dyDescent="0.25">
      <c r="RR77" s="40"/>
      <c r="RS77" s="66"/>
      <c r="RT77" s="66"/>
      <c r="RU77" s="66"/>
      <c r="RV77" s="41"/>
      <c r="RW77" s="133"/>
      <c r="RX77" s="41"/>
      <c r="RY77" s="41"/>
      <c r="RZ77" s="41"/>
      <c r="SA77" s="41"/>
      <c r="SB77" s="41"/>
      <c r="SC77" s="138"/>
      <c r="SD77" s="41"/>
      <c r="SE77" s="41"/>
      <c r="SF77" s="41"/>
      <c r="SG77" s="41"/>
      <c r="SH77" s="41"/>
      <c r="SI77" s="76"/>
      <c r="SJ77" s="41"/>
      <c r="SK77" s="41"/>
      <c r="SL77" s="41"/>
      <c r="SM77" s="41"/>
      <c r="SN77" s="41"/>
      <c r="SO77" s="138"/>
      <c r="SP77" s="41"/>
      <c r="SQ77" s="41"/>
      <c r="SR77" s="41"/>
      <c r="SS77" s="41"/>
      <c r="ST77" s="41"/>
      <c r="SU77" s="76"/>
      <c r="SV77" s="66"/>
      <c r="SW77" s="66"/>
      <c r="SX77" s="66"/>
      <c r="SY77" s="66"/>
      <c r="SZ77" s="41"/>
      <c r="TA77" s="138"/>
      <c r="TB77" s="41"/>
      <c r="TC77" s="41"/>
      <c r="TD77" s="41"/>
      <c r="TE77" s="41"/>
      <c r="TF77" s="41"/>
      <c r="TG77" s="76"/>
      <c r="TH77" s="41"/>
      <c r="TI77" s="41"/>
      <c r="TJ77" s="41"/>
      <c r="TK77" s="41"/>
      <c r="TL77" s="41"/>
      <c r="TM77" s="138"/>
      <c r="TN77" s="41"/>
      <c r="TO77" s="41"/>
      <c r="TP77" s="41"/>
      <c r="TQ77" s="41"/>
      <c r="TR77" s="41"/>
      <c r="TS77" s="76"/>
      <c r="TT77" s="41"/>
      <c r="TU77" s="41"/>
      <c r="TV77" s="41"/>
      <c r="TW77" s="41"/>
      <c r="TX77" s="41"/>
      <c r="TY77" s="42"/>
      <c r="TZ77" s="90"/>
    </row>
    <row r="78" spans="486:546" x14ac:dyDescent="0.25">
      <c r="RR78" s="28"/>
      <c r="RS78" s="67"/>
      <c r="RT78" s="67"/>
      <c r="RU78" s="67"/>
      <c r="RV78" s="29"/>
      <c r="RW78" s="132"/>
      <c r="RX78" s="29"/>
      <c r="RY78" s="29"/>
      <c r="RZ78" s="29"/>
      <c r="SA78" s="29"/>
      <c r="SB78" s="29"/>
      <c r="SC78" s="137"/>
      <c r="SD78" s="29"/>
      <c r="SE78" s="29"/>
      <c r="SF78" s="29"/>
      <c r="SG78" s="29"/>
      <c r="SH78" s="29"/>
      <c r="SI78" s="75"/>
      <c r="SJ78" s="29"/>
      <c r="SK78" s="29"/>
      <c r="SL78" s="29"/>
      <c r="SM78" s="29"/>
      <c r="SN78" s="29"/>
      <c r="SO78" s="137"/>
      <c r="SP78" s="29"/>
      <c r="SQ78" s="29"/>
      <c r="SR78" s="29"/>
      <c r="SS78" s="29"/>
      <c r="ST78" s="29"/>
      <c r="SU78" s="75"/>
      <c r="SV78" s="67"/>
      <c r="SW78" s="67"/>
      <c r="SX78" s="67"/>
      <c r="SY78" s="67"/>
      <c r="SZ78" s="29"/>
      <c r="TA78" s="137"/>
      <c r="TB78" s="29"/>
      <c r="TC78" s="29"/>
      <c r="TD78" s="29"/>
      <c r="TE78" s="29"/>
      <c r="TF78" s="29"/>
      <c r="TG78" s="75"/>
      <c r="TH78" s="29"/>
      <c r="TI78" s="29"/>
      <c r="TJ78" s="29"/>
      <c r="TK78" s="29"/>
      <c r="TL78" s="29"/>
      <c r="TM78" s="137"/>
      <c r="TN78" s="29"/>
      <c r="TO78" s="29"/>
      <c r="TP78" s="29"/>
      <c r="TQ78" s="29"/>
      <c r="TR78" s="29"/>
      <c r="TS78" s="75"/>
      <c r="TT78" s="29"/>
      <c r="TU78" s="29"/>
      <c r="TV78" s="29"/>
      <c r="TW78" s="29"/>
      <c r="TX78" s="29"/>
      <c r="TY78" s="30"/>
      <c r="TZ78" s="90"/>
    </row>
    <row r="79" spans="486:546" x14ac:dyDescent="0.25">
      <c r="RR79" s="32"/>
      <c r="RS79" s="64"/>
      <c r="RT79" s="64"/>
      <c r="RU79" s="64"/>
      <c r="RV79" s="33"/>
      <c r="RW79" s="131"/>
      <c r="RX79" s="33"/>
      <c r="RY79" s="33"/>
      <c r="RZ79" s="33"/>
      <c r="SA79" s="33"/>
      <c r="SB79" s="33"/>
      <c r="SC79" s="136"/>
      <c r="SD79" s="33"/>
      <c r="SE79" s="33"/>
      <c r="SF79" s="33"/>
      <c r="SG79" s="33"/>
      <c r="SH79" s="33"/>
      <c r="SI79" s="74"/>
      <c r="SJ79" s="33"/>
      <c r="SK79" s="33"/>
      <c r="SL79" s="33"/>
      <c r="SM79" s="33"/>
      <c r="SN79" s="33"/>
      <c r="SO79" s="136"/>
      <c r="SP79" s="33"/>
      <c r="SQ79" s="33"/>
      <c r="SR79" s="33"/>
      <c r="SS79" s="33"/>
      <c r="ST79" s="33"/>
      <c r="SU79" s="74"/>
      <c r="SV79" s="64"/>
      <c r="SW79" s="64"/>
      <c r="SX79" s="64"/>
      <c r="SY79" s="64"/>
      <c r="SZ79" s="33"/>
      <c r="TA79" s="136"/>
      <c r="TB79" s="33"/>
      <c r="TC79" s="33"/>
      <c r="TD79" s="33"/>
      <c r="TE79" s="33"/>
      <c r="TF79" s="33"/>
      <c r="TG79" s="74"/>
      <c r="TH79" s="33"/>
      <c r="TI79" s="33"/>
      <c r="TJ79" s="33"/>
      <c r="TK79" s="33"/>
      <c r="TL79" s="33"/>
      <c r="TM79" s="136"/>
      <c r="TN79" s="33"/>
      <c r="TO79" s="33"/>
      <c r="TP79" s="33"/>
      <c r="TQ79" s="33"/>
      <c r="TR79" s="33"/>
      <c r="TS79" s="74"/>
      <c r="TT79" s="33"/>
      <c r="TU79" s="33"/>
      <c r="TV79" s="33"/>
      <c r="TW79" s="33"/>
      <c r="TX79" s="33"/>
      <c r="TY79" s="34"/>
      <c r="TZ79" s="90"/>
    </row>
    <row r="80" spans="486:546" x14ac:dyDescent="0.25">
      <c r="RR80" s="36"/>
      <c r="RS80" s="65"/>
      <c r="RT80" s="65"/>
      <c r="RU80" s="65"/>
      <c r="RV80" s="37"/>
      <c r="RW80" s="132"/>
      <c r="RX80" s="37"/>
      <c r="RY80" s="37"/>
      <c r="RZ80" s="37"/>
      <c r="SA80" s="37"/>
      <c r="SB80" s="37"/>
      <c r="SC80" s="137"/>
      <c r="SD80" s="37"/>
      <c r="SE80" s="37"/>
      <c r="SF80" s="37"/>
      <c r="SG80" s="37"/>
      <c r="SH80" s="37"/>
      <c r="SI80" s="75"/>
      <c r="SJ80" s="37"/>
      <c r="SK80" s="37"/>
      <c r="SL80" s="37"/>
      <c r="SM80" s="37"/>
      <c r="SN80" s="37"/>
      <c r="SO80" s="137"/>
      <c r="SP80" s="37"/>
      <c r="SQ80" s="37"/>
      <c r="SR80" s="37"/>
      <c r="SS80" s="37"/>
      <c r="ST80" s="37"/>
      <c r="SU80" s="75"/>
      <c r="SV80" s="65"/>
      <c r="SW80" s="65"/>
      <c r="SX80" s="65"/>
      <c r="SY80" s="65"/>
      <c r="SZ80" s="37"/>
      <c r="TA80" s="137"/>
      <c r="TB80" s="37"/>
      <c r="TC80" s="37"/>
      <c r="TD80" s="37"/>
      <c r="TE80" s="37"/>
      <c r="TF80" s="37"/>
      <c r="TG80" s="75"/>
      <c r="TH80" s="37"/>
      <c r="TI80" s="37"/>
      <c r="TJ80" s="37"/>
      <c r="TK80" s="37"/>
      <c r="TL80" s="37"/>
      <c r="TM80" s="137"/>
      <c r="TN80" s="37"/>
      <c r="TO80" s="37"/>
      <c r="TP80" s="37"/>
      <c r="TQ80" s="37"/>
      <c r="TR80" s="37"/>
      <c r="TS80" s="75"/>
      <c r="TT80" s="37"/>
      <c r="TU80" s="37"/>
      <c r="TV80" s="37"/>
      <c r="TW80" s="37"/>
      <c r="TX80" s="37"/>
      <c r="TY80" s="38"/>
      <c r="TZ80" s="90"/>
    </row>
    <row r="81" spans="486:546" x14ac:dyDescent="0.25">
      <c r="RR81" s="40"/>
      <c r="RS81" s="66"/>
      <c r="RT81" s="66"/>
      <c r="RU81" s="66"/>
      <c r="RV81" s="41"/>
      <c r="RW81" s="133"/>
      <c r="RX81" s="41"/>
      <c r="RY81" s="41"/>
      <c r="RZ81" s="41"/>
      <c r="SA81" s="41"/>
      <c r="SB81" s="41"/>
      <c r="SC81" s="138"/>
      <c r="SD81" s="41"/>
      <c r="SE81" s="41"/>
      <c r="SF81" s="41"/>
      <c r="SG81" s="41"/>
      <c r="SH81" s="41"/>
      <c r="SI81" s="76"/>
      <c r="SJ81" s="41"/>
      <c r="SK81" s="41"/>
      <c r="SL81" s="41"/>
      <c r="SM81" s="41"/>
      <c r="SN81" s="41"/>
      <c r="SO81" s="138"/>
      <c r="SP81" s="41"/>
      <c r="SQ81" s="41"/>
      <c r="SR81" s="41"/>
      <c r="SS81" s="41"/>
      <c r="ST81" s="41"/>
      <c r="SU81" s="76"/>
      <c r="SV81" s="66"/>
      <c r="SW81" s="66"/>
      <c r="SX81" s="66"/>
      <c r="SY81" s="66"/>
      <c r="SZ81" s="41"/>
      <c r="TA81" s="138"/>
      <c r="TB81" s="41"/>
      <c r="TC81" s="41"/>
      <c r="TD81" s="41"/>
      <c r="TE81" s="41"/>
      <c r="TF81" s="41"/>
      <c r="TG81" s="76"/>
      <c r="TH81" s="41"/>
      <c r="TI81" s="41"/>
      <c r="TJ81" s="41"/>
      <c r="TK81" s="41"/>
      <c r="TL81" s="41"/>
      <c r="TM81" s="138"/>
      <c r="TN81" s="41"/>
      <c r="TO81" s="41"/>
      <c r="TP81" s="41"/>
      <c r="TQ81" s="41"/>
      <c r="TR81" s="41"/>
      <c r="TS81" s="76"/>
      <c r="TT81" s="41"/>
      <c r="TU81" s="41"/>
      <c r="TV81" s="41"/>
      <c r="TW81" s="41"/>
      <c r="TX81" s="41"/>
      <c r="TY81" s="42"/>
      <c r="TZ81" s="90"/>
    </row>
    <row r="82" spans="486:546" x14ac:dyDescent="0.25">
      <c r="RR82" s="28"/>
      <c r="RS82" s="67"/>
      <c r="RT82" s="67"/>
      <c r="RU82" s="67"/>
      <c r="RV82" s="29"/>
      <c r="RW82" s="130"/>
      <c r="RX82" s="29"/>
      <c r="RY82" s="29"/>
      <c r="RZ82" s="29"/>
      <c r="SA82" s="29"/>
      <c r="SB82" s="29"/>
      <c r="SC82" s="135"/>
      <c r="SD82" s="29"/>
      <c r="SE82" s="29"/>
      <c r="SF82" s="29"/>
      <c r="SG82" s="29"/>
      <c r="SH82" s="29"/>
      <c r="SI82" s="73"/>
      <c r="SJ82" s="29"/>
      <c r="SK82" s="29"/>
      <c r="SL82" s="29"/>
      <c r="SM82" s="29"/>
      <c r="SN82" s="29"/>
      <c r="SO82" s="135"/>
      <c r="SP82" s="29"/>
      <c r="SQ82" s="29"/>
      <c r="SR82" s="29"/>
      <c r="SS82" s="29"/>
      <c r="ST82" s="29"/>
      <c r="SU82" s="73"/>
      <c r="SV82" s="67"/>
      <c r="SW82" s="67"/>
      <c r="SX82" s="67"/>
      <c r="SY82" s="67"/>
      <c r="SZ82" s="29"/>
      <c r="TA82" s="135"/>
      <c r="TB82" s="29"/>
      <c r="TC82" s="29"/>
      <c r="TD82" s="29"/>
      <c r="TE82" s="29"/>
      <c r="TF82" s="29"/>
      <c r="TG82" s="73"/>
      <c r="TH82" s="29"/>
      <c r="TI82" s="29"/>
      <c r="TJ82" s="29"/>
      <c r="TK82" s="29"/>
      <c r="TL82" s="29"/>
      <c r="TM82" s="135"/>
      <c r="TN82" s="29"/>
      <c r="TO82" s="29"/>
      <c r="TP82" s="29"/>
      <c r="TQ82" s="29"/>
      <c r="TR82" s="29"/>
      <c r="TS82" s="73"/>
      <c r="TT82" s="29"/>
      <c r="TU82" s="29"/>
      <c r="TV82" s="29"/>
      <c r="TW82" s="29"/>
      <c r="TX82" s="29"/>
      <c r="TY82" s="30"/>
      <c r="TZ82" s="90"/>
    </row>
    <row r="83" spans="486:546" x14ac:dyDescent="0.25">
      <c r="RR83" s="32"/>
      <c r="RS83" s="64"/>
      <c r="RT83" s="64"/>
      <c r="RU83" s="64"/>
      <c r="RV83" s="33"/>
      <c r="RW83" s="131"/>
      <c r="RX83" s="33"/>
      <c r="RY83" s="33"/>
      <c r="RZ83" s="33"/>
      <c r="SA83" s="33"/>
      <c r="SB83" s="33"/>
      <c r="SC83" s="136"/>
      <c r="SD83" s="33"/>
      <c r="SE83" s="33"/>
      <c r="SF83" s="33"/>
      <c r="SG83" s="33"/>
      <c r="SH83" s="33"/>
      <c r="SI83" s="74"/>
      <c r="SJ83" s="33"/>
      <c r="SK83" s="33"/>
      <c r="SL83" s="33"/>
      <c r="SM83" s="33"/>
      <c r="SN83" s="33"/>
      <c r="SO83" s="136"/>
      <c r="SP83" s="33"/>
      <c r="SQ83" s="33"/>
      <c r="SR83" s="33"/>
      <c r="SS83" s="33"/>
      <c r="ST83" s="33"/>
      <c r="SU83" s="74"/>
      <c r="SV83" s="64"/>
      <c r="SW83" s="64"/>
      <c r="SX83" s="64"/>
      <c r="SY83" s="64"/>
      <c r="SZ83" s="33"/>
      <c r="TA83" s="136"/>
      <c r="TB83" s="33"/>
      <c r="TC83" s="33"/>
      <c r="TD83" s="33"/>
      <c r="TE83" s="33"/>
      <c r="TF83" s="33"/>
      <c r="TG83" s="74"/>
      <c r="TH83" s="33"/>
      <c r="TI83" s="33"/>
      <c r="TJ83" s="33"/>
      <c r="TK83" s="33"/>
      <c r="TL83" s="33"/>
      <c r="TM83" s="136"/>
      <c r="TN83" s="33"/>
      <c r="TO83" s="33"/>
      <c r="TP83" s="33"/>
      <c r="TQ83" s="33"/>
      <c r="TR83" s="33"/>
      <c r="TS83" s="74"/>
      <c r="TT83" s="33"/>
      <c r="TU83" s="33"/>
      <c r="TV83" s="33"/>
      <c r="TW83" s="33"/>
      <c r="TX83" s="33"/>
      <c r="TY83" s="34"/>
      <c r="TZ83" s="90"/>
    </row>
    <row r="84" spans="486:546" x14ac:dyDescent="0.25">
      <c r="RR84" s="36"/>
      <c r="RS84" s="65"/>
      <c r="RT84" s="65"/>
      <c r="RU84" s="65"/>
      <c r="RV84" s="37"/>
      <c r="RW84" s="132"/>
      <c r="RX84" s="37"/>
      <c r="RY84" s="37"/>
      <c r="RZ84" s="37"/>
      <c r="SA84" s="37"/>
      <c r="SB84" s="37"/>
      <c r="SC84" s="137"/>
      <c r="SD84" s="37"/>
      <c r="SE84" s="37"/>
      <c r="SF84" s="37"/>
      <c r="SG84" s="37"/>
      <c r="SH84" s="37"/>
      <c r="SI84" s="75"/>
      <c r="SJ84" s="37"/>
      <c r="SK84" s="37"/>
      <c r="SL84" s="37"/>
      <c r="SM84" s="37"/>
      <c r="SN84" s="37"/>
      <c r="SO84" s="137"/>
      <c r="SP84" s="37"/>
      <c r="SQ84" s="37"/>
      <c r="SR84" s="37"/>
      <c r="SS84" s="37"/>
      <c r="ST84" s="37"/>
      <c r="SU84" s="75"/>
      <c r="SV84" s="65"/>
      <c r="SW84" s="65"/>
      <c r="SX84" s="65"/>
      <c r="SY84" s="65"/>
      <c r="SZ84" s="37"/>
      <c r="TA84" s="137"/>
      <c r="TB84" s="37"/>
      <c r="TC84" s="37"/>
      <c r="TD84" s="37"/>
      <c r="TE84" s="37"/>
      <c r="TF84" s="37"/>
      <c r="TG84" s="75"/>
      <c r="TH84" s="37"/>
      <c r="TI84" s="37"/>
      <c r="TJ84" s="37"/>
      <c r="TK84" s="37"/>
      <c r="TL84" s="37"/>
      <c r="TM84" s="137"/>
      <c r="TN84" s="37"/>
      <c r="TO84" s="37"/>
      <c r="TP84" s="37"/>
      <c r="TQ84" s="37"/>
      <c r="TR84" s="37"/>
      <c r="TS84" s="75"/>
      <c r="TT84" s="37"/>
      <c r="TU84" s="37"/>
      <c r="TV84" s="37"/>
      <c r="TW84" s="37"/>
      <c r="TX84" s="37"/>
      <c r="TY84" s="38"/>
      <c r="TZ84" s="90"/>
    </row>
    <row r="85" spans="486:546" x14ac:dyDescent="0.25">
      <c r="RR85" s="40"/>
      <c r="RS85" s="66"/>
      <c r="RT85" s="66"/>
      <c r="RU85" s="66"/>
      <c r="RV85" s="41"/>
      <c r="RW85" s="133"/>
      <c r="RX85" s="41"/>
      <c r="RY85" s="41"/>
      <c r="RZ85" s="41"/>
      <c r="SA85" s="41"/>
      <c r="SB85" s="41"/>
      <c r="SC85" s="138"/>
      <c r="SD85" s="41"/>
      <c r="SE85" s="41"/>
      <c r="SF85" s="41"/>
      <c r="SG85" s="41"/>
      <c r="SH85" s="41"/>
      <c r="SI85" s="76"/>
      <c r="SJ85" s="41"/>
      <c r="SK85" s="41"/>
      <c r="SL85" s="41"/>
      <c r="SM85" s="41"/>
      <c r="SN85" s="41"/>
      <c r="SO85" s="138"/>
      <c r="SP85" s="41"/>
      <c r="SQ85" s="41"/>
      <c r="SR85" s="41"/>
      <c r="SS85" s="41"/>
      <c r="ST85" s="41"/>
      <c r="SU85" s="76"/>
      <c r="SV85" s="66"/>
      <c r="SW85" s="66"/>
      <c r="SX85" s="66"/>
      <c r="SY85" s="66"/>
      <c r="SZ85" s="41"/>
      <c r="TA85" s="138"/>
      <c r="TB85" s="41"/>
      <c r="TC85" s="41"/>
      <c r="TD85" s="41"/>
      <c r="TE85" s="41"/>
      <c r="TF85" s="41"/>
      <c r="TG85" s="76"/>
      <c r="TH85" s="41"/>
      <c r="TI85" s="41"/>
      <c r="TJ85" s="41"/>
      <c r="TK85" s="41"/>
      <c r="TL85" s="41"/>
      <c r="TM85" s="138"/>
      <c r="TN85" s="41"/>
      <c r="TO85" s="41"/>
      <c r="TP85" s="41"/>
      <c r="TQ85" s="41"/>
      <c r="TR85" s="41"/>
      <c r="TS85" s="76"/>
      <c r="TT85" s="41"/>
      <c r="TU85" s="41"/>
      <c r="TV85" s="41"/>
      <c r="TW85" s="41"/>
      <c r="TX85" s="41"/>
      <c r="TY85" s="42"/>
      <c r="TZ85" s="90"/>
    </row>
    <row r="86" spans="486:546" x14ac:dyDescent="0.25">
      <c r="RR86" s="28"/>
      <c r="RS86" s="67"/>
      <c r="RT86" s="67"/>
      <c r="RU86" s="67"/>
      <c r="RV86" s="29"/>
      <c r="RW86" s="130"/>
      <c r="RX86" s="29"/>
      <c r="RY86" s="29"/>
      <c r="RZ86" s="29"/>
      <c r="SA86" s="29"/>
      <c r="SB86" s="29"/>
      <c r="SC86" s="135"/>
      <c r="SD86" s="29"/>
      <c r="SE86" s="29"/>
      <c r="SF86" s="29"/>
      <c r="SG86" s="29"/>
      <c r="SH86" s="29"/>
      <c r="SI86" s="73"/>
      <c r="SJ86" s="29"/>
      <c r="SK86" s="29"/>
      <c r="SL86" s="29"/>
      <c r="SM86" s="29"/>
      <c r="SN86" s="29"/>
      <c r="SO86" s="135"/>
      <c r="SP86" s="29"/>
      <c r="SQ86" s="29"/>
      <c r="SR86" s="29"/>
      <c r="SS86" s="29"/>
      <c r="ST86" s="29"/>
      <c r="SU86" s="73"/>
      <c r="SV86" s="67"/>
      <c r="SW86" s="67"/>
      <c r="SX86" s="67"/>
      <c r="SY86" s="67"/>
      <c r="SZ86" s="29"/>
      <c r="TA86" s="135"/>
      <c r="TB86" s="29"/>
      <c r="TC86" s="29"/>
      <c r="TD86" s="29"/>
      <c r="TE86" s="29"/>
      <c r="TF86" s="29"/>
      <c r="TG86" s="73"/>
      <c r="TH86" s="29"/>
      <c r="TI86" s="29"/>
      <c r="TJ86" s="29"/>
      <c r="TK86" s="29"/>
      <c r="TL86" s="29"/>
      <c r="TM86" s="135"/>
      <c r="TN86" s="29"/>
      <c r="TO86" s="29"/>
      <c r="TP86" s="29"/>
      <c r="TQ86" s="29"/>
      <c r="TR86" s="29"/>
      <c r="TS86" s="73"/>
      <c r="TT86" s="29"/>
      <c r="TU86" s="29"/>
      <c r="TV86" s="29"/>
      <c r="TW86" s="29"/>
      <c r="TX86" s="29"/>
      <c r="TY86" s="30"/>
      <c r="TZ86" s="90"/>
    </row>
    <row r="87" spans="486:546" x14ac:dyDescent="0.25">
      <c r="RR87" s="32"/>
      <c r="RS87" s="64"/>
      <c r="RT87" s="64"/>
      <c r="RU87" s="64"/>
      <c r="RV87" s="33"/>
      <c r="RW87" s="131"/>
      <c r="RX87" s="33"/>
      <c r="RY87" s="33"/>
      <c r="RZ87" s="33"/>
      <c r="SA87" s="33"/>
      <c r="SB87" s="33"/>
      <c r="SC87" s="136"/>
      <c r="SD87" s="33"/>
      <c r="SE87" s="33"/>
      <c r="SF87" s="33"/>
      <c r="SG87" s="33"/>
      <c r="SH87" s="33"/>
      <c r="SI87" s="74"/>
      <c r="SJ87" s="33"/>
      <c r="SK87" s="33"/>
      <c r="SL87" s="33"/>
      <c r="SM87" s="33"/>
      <c r="SN87" s="33"/>
      <c r="SO87" s="136"/>
      <c r="SP87" s="33"/>
      <c r="SQ87" s="33"/>
      <c r="SR87" s="33"/>
      <c r="SS87" s="33"/>
      <c r="ST87" s="33"/>
      <c r="SU87" s="74"/>
      <c r="SV87" s="64"/>
      <c r="SW87" s="64"/>
      <c r="SX87" s="64"/>
      <c r="SY87" s="64"/>
      <c r="SZ87" s="33"/>
      <c r="TA87" s="136"/>
      <c r="TB87" s="33"/>
      <c r="TC87" s="33"/>
      <c r="TD87" s="33"/>
      <c r="TE87" s="33"/>
      <c r="TF87" s="33"/>
      <c r="TG87" s="74"/>
      <c r="TH87" s="33"/>
      <c r="TI87" s="33"/>
      <c r="TJ87" s="33"/>
      <c r="TK87" s="33"/>
      <c r="TL87" s="33"/>
      <c r="TM87" s="136"/>
      <c r="TN87" s="33"/>
      <c r="TO87" s="33"/>
      <c r="TP87" s="33"/>
      <c r="TQ87" s="33"/>
      <c r="TR87" s="33"/>
      <c r="TS87" s="74"/>
      <c r="TT87" s="33"/>
      <c r="TU87" s="33"/>
      <c r="TV87" s="33"/>
      <c r="TW87" s="33"/>
      <c r="TX87" s="33"/>
      <c r="TY87" s="34"/>
      <c r="TZ87" s="90"/>
    </row>
    <row r="88" spans="486:546" x14ac:dyDescent="0.25">
      <c r="RR88" s="36"/>
      <c r="RS88" s="65"/>
      <c r="RT88" s="65"/>
      <c r="RU88" s="65"/>
      <c r="RV88" s="37"/>
      <c r="RW88" s="132"/>
      <c r="RX88" s="37"/>
      <c r="RY88" s="37"/>
      <c r="RZ88" s="37"/>
      <c r="SA88" s="37"/>
      <c r="SB88" s="37"/>
      <c r="SC88" s="137"/>
      <c r="SD88" s="37"/>
      <c r="SE88" s="37"/>
      <c r="SF88" s="37"/>
      <c r="SG88" s="37"/>
      <c r="SH88" s="37"/>
      <c r="SI88" s="75"/>
      <c r="SJ88" s="37"/>
      <c r="SK88" s="37"/>
      <c r="SL88" s="37"/>
      <c r="SM88" s="37"/>
      <c r="SN88" s="37"/>
      <c r="SO88" s="137"/>
      <c r="SP88" s="37"/>
      <c r="SQ88" s="37"/>
      <c r="SR88" s="37"/>
      <c r="SS88" s="37"/>
      <c r="ST88" s="37"/>
      <c r="SU88" s="75"/>
      <c r="SV88" s="65"/>
      <c r="SW88" s="65"/>
      <c r="SX88" s="65"/>
      <c r="SY88" s="65"/>
      <c r="SZ88" s="37"/>
      <c r="TA88" s="137"/>
      <c r="TB88" s="37"/>
      <c r="TC88" s="37"/>
      <c r="TD88" s="37"/>
      <c r="TE88" s="37"/>
      <c r="TF88" s="37"/>
      <c r="TG88" s="75"/>
      <c r="TH88" s="37"/>
      <c r="TI88" s="37"/>
      <c r="TJ88" s="37"/>
      <c r="TK88" s="37"/>
      <c r="TL88" s="37"/>
      <c r="TM88" s="137"/>
      <c r="TN88" s="37"/>
      <c r="TO88" s="37"/>
      <c r="TP88" s="37"/>
      <c r="TQ88" s="37"/>
      <c r="TR88" s="37"/>
      <c r="TS88" s="75"/>
      <c r="TT88" s="37"/>
      <c r="TU88" s="37"/>
      <c r="TV88" s="37"/>
      <c r="TW88" s="37"/>
      <c r="TX88" s="37"/>
      <c r="TY88" s="38"/>
      <c r="TZ88" s="90"/>
    </row>
    <row r="89" spans="486:546" x14ac:dyDescent="0.25">
      <c r="RR89" s="32"/>
      <c r="RS89" s="64"/>
      <c r="RT89" s="64"/>
      <c r="RU89" s="64"/>
      <c r="RV89" s="33"/>
      <c r="RW89" s="131"/>
      <c r="RX89" s="33"/>
      <c r="RY89" s="33"/>
      <c r="RZ89" s="33"/>
      <c r="SA89" s="33"/>
      <c r="SB89" s="33"/>
      <c r="SC89" s="136"/>
      <c r="SD89" s="33"/>
      <c r="SE89" s="33"/>
      <c r="SF89" s="33"/>
      <c r="SG89" s="33"/>
      <c r="SH89" s="33"/>
      <c r="SI89" s="74"/>
      <c r="SJ89" s="33"/>
      <c r="SK89" s="33"/>
      <c r="SL89" s="33"/>
      <c r="SM89" s="33"/>
      <c r="SN89" s="33"/>
      <c r="SO89" s="136"/>
      <c r="SP89" s="33"/>
      <c r="SQ89" s="33"/>
      <c r="SR89" s="33"/>
      <c r="SS89" s="33"/>
      <c r="ST89" s="33"/>
      <c r="SU89" s="74"/>
      <c r="SV89" s="64"/>
      <c r="SW89" s="64"/>
      <c r="SX89" s="64"/>
      <c r="SY89" s="64"/>
      <c r="SZ89" s="33"/>
      <c r="TA89" s="136"/>
      <c r="TB89" s="33"/>
      <c r="TC89" s="33"/>
      <c r="TD89" s="33"/>
      <c r="TE89" s="33"/>
      <c r="TF89" s="33"/>
      <c r="TG89" s="74"/>
      <c r="TH89" s="33"/>
      <c r="TI89" s="33"/>
      <c r="TJ89" s="33"/>
      <c r="TK89" s="33"/>
      <c r="TL89" s="33"/>
      <c r="TM89" s="136"/>
      <c r="TN89" s="33"/>
      <c r="TO89" s="33"/>
      <c r="TP89" s="33"/>
      <c r="TQ89" s="33"/>
      <c r="TR89" s="33"/>
      <c r="TS89" s="74"/>
      <c r="TT89" s="33"/>
      <c r="TU89" s="33"/>
      <c r="TV89" s="33"/>
      <c r="TW89" s="33"/>
      <c r="TX89" s="33"/>
      <c r="TY89" s="34"/>
      <c r="TZ89" s="90"/>
    </row>
    <row r="90" spans="486:546" x14ac:dyDescent="0.25">
      <c r="RR90" s="36"/>
      <c r="RS90" s="65"/>
      <c r="RT90" s="65"/>
      <c r="RU90" s="65"/>
      <c r="RV90" s="37"/>
      <c r="RW90" s="132"/>
      <c r="RX90" s="37"/>
      <c r="RY90" s="37"/>
      <c r="RZ90" s="37"/>
      <c r="SA90" s="37"/>
      <c r="SB90" s="37"/>
      <c r="SC90" s="137"/>
      <c r="SD90" s="37"/>
      <c r="SE90" s="37"/>
      <c r="SF90" s="37"/>
      <c r="SG90" s="37"/>
      <c r="SH90" s="37"/>
      <c r="SI90" s="75"/>
      <c r="SJ90" s="37"/>
      <c r="SK90" s="37"/>
      <c r="SL90" s="37"/>
      <c r="SM90" s="37"/>
      <c r="SN90" s="37"/>
      <c r="SO90" s="137"/>
      <c r="SP90" s="37"/>
      <c r="SQ90" s="37"/>
      <c r="SR90" s="37"/>
      <c r="SS90" s="37"/>
      <c r="ST90" s="37"/>
      <c r="SU90" s="75"/>
      <c r="SV90" s="65"/>
      <c r="SW90" s="65"/>
      <c r="SX90" s="65"/>
      <c r="SY90" s="65"/>
      <c r="SZ90" s="37"/>
      <c r="TA90" s="137"/>
      <c r="TB90" s="37"/>
      <c r="TC90" s="37"/>
      <c r="TD90" s="37"/>
      <c r="TE90" s="37"/>
      <c r="TF90" s="37"/>
      <c r="TG90" s="75"/>
      <c r="TH90" s="37"/>
      <c r="TI90" s="37"/>
      <c r="TJ90" s="37"/>
      <c r="TK90" s="37"/>
      <c r="TL90" s="37"/>
      <c r="TM90" s="137"/>
      <c r="TN90" s="37"/>
      <c r="TO90" s="37"/>
      <c r="TP90" s="37"/>
      <c r="TQ90" s="37"/>
      <c r="TR90" s="37"/>
      <c r="TS90" s="75"/>
      <c r="TT90" s="37"/>
      <c r="TU90" s="37"/>
      <c r="TV90" s="37"/>
      <c r="TW90" s="37"/>
      <c r="TX90" s="37"/>
      <c r="TY90" s="38"/>
      <c r="TZ90" s="90"/>
    </row>
    <row r="91" spans="486:546" x14ac:dyDescent="0.25">
      <c r="RR91" s="40"/>
      <c r="RS91" s="66"/>
      <c r="RT91" s="66"/>
      <c r="RU91" s="66"/>
      <c r="RV91" s="41"/>
      <c r="RW91" s="133"/>
      <c r="RX91" s="41"/>
      <c r="RY91" s="41"/>
      <c r="RZ91" s="41"/>
      <c r="SA91" s="41"/>
      <c r="SB91" s="41"/>
      <c r="SC91" s="138"/>
      <c r="SD91" s="41"/>
      <c r="SE91" s="41"/>
      <c r="SF91" s="41"/>
      <c r="SG91" s="41"/>
      <c r="SH91" s="41"/>
      <c r="SI91" s="76"/>
      <c r="SJ91" s="41"/>
      <c r="SK91" s="41"/>
      <c r="SL91" s="41"/>
      <c r="SM91" s="41"/>
      <c r="SN91" s="41"/>
      <c r="SO91" s="138"/>
      <c r="SP91" s="41"/>
      <c r="SQ91" s="41"/>
      <c r="SR91" s="41"/>
      <c r="SS91" s="41"/>
      <c r="ST91" s="41"/>
      <c r="SU91" s="76"/>
      <c r="SV91" s="66"/>
      <c r="SW91" s="66"/>
      <c r="SX91" s="66"/>
      <c r="SY91" s="66"/>
      <c r="SZ91" s="41"/>
      <c r="TA91" s="138"/>
      <c r="TB91" s="41"/>
      <c r="TC91" s="41"/>
      <c r="TD91" s="41"/>
      <c r="TE91" s="41"/>
      <c r="TF91" s="41"/>
      <c r="TG91" s="76"/>
      <c r="TH91" s="41"/>
      <c r="TI91" s="41"/>
      <c r="TJ91" s="41"/>
      <c r="TK91" s="41"/>
      <c r="TL91" s="41"/>
      <c r="TM91" s="138"/>
      <c r="TN91" s="41"/>
      <c r="TO91" s="41"/>
      <c r="TP91" s="41"/>
      <c r="TQ91" s="41"/>
      <c r="TR91" s="41"/>
      <c r="TS91" s="76"/>
      <c r="TT91" s="41"/>
      <c r="TU91" s="41"/>
      <c r="TV91" s="41"/>
      <c r="TW91" s="41"/>
      <c r="TX91" s="41"/>
      <c r="TY91" s="42"/>
      <c r="TZ91" s="90"/>
    </row>
    <row r="92" spans="486:546" x14ac:dyDescent="0.25">
      <c r="RR92" s="28"/>
      <c r="RS92" s="67"/>
      <c r="RT92" s="67"/>
      <c r="RU92" s="67"/>
      <c r="RV92" s="29"/>
      <c r="RW92" s="132"/>
      <c r="RX92" s="29"/>
      <c r="RY92" s="29"/>
      <c r="RZ92" s="29"/>
      <c r="SA92" s="29"/>
      <c r="SB92" s="29"/>
      <c r="SC92" s="137"/>
      <c r="SD92" s="29"/>
      <c r="SE92" s="29"/>
      <c r="SF92" s="29"/>
      <c r="SG92" s="29"/>
      <c r="SH92" s="29"/>
      <c r="SI92" s="75"/>
      <c r="SJ92" s="29"/>
      <c r="SK92" s="29"/>
      <c r="SL92" s="29"/>
      <c r="SM92" s="29"/>
      <c r="SN92" s="29"/>
      <c r="SO92" s="137"/>
      <c r="SP92" s="29"/>
      <c r="SQ92" s="29"/>
      <c r="SR92" s="29"/>
      <c r="SS92" s="29"/>
      <c r="ST92" s="29"/>
      <c r="SU92" s="75"/>
      <c r="SV92" s="67"/>
      <c r="SW92" s="67"/>
      <c r="SX92" s="67"/>
      <c r="SY92" s="67"/>
      <c r="SZ92" s="29"/>
      <c r="TA92" s="137"/>
      <c r="TB92" s="29"/>
      <c r="TC92" s="29"/>
      <c r="TD92" s="29"/>
      <c r="TE92" s="29"/>
      <c r="TF92" s="29"/>
      <c r="TG92" s="75"/>
      <c r="TH92" s="29"/>
      <c r="TI92" s="29"/>
      <c r="TJ92" s="29"/>
      <c r="TK92" s="29"/>
      <c r="TL92" s="29"/>
      <c r="TM92" s="137"/>
      <c r="TN92" s="29"/>
      <c r="TO92" s="29"/>
      <c r="TP92" s="29"/>
      <c r="TQ92" s="29"/>
      <c r="TR92" s="29"/>
      <c r="TS92" s="75"/>
      <c r="TT92" s="29"/>
      <c r="TU92" s="29"/>
      <c r="TV92" s="29"/>
      <c r="TW92" s="29"/>
      <c r="TX92" s="29"/>
      <c r="TY92" s="30"/>
      <c r="TZ92" s="90"/>
    </row>
    <row r="93" spans="486:546" x14ac:dyDescent="0.25">
      <c r="RR93" s="32"/>
      <c r="RS93" s="64"/>
      <c r="RT93" s="64"/>
      <c r="RU93" s="64"/>
      <c r="RV93" s="33"/>
      <c r="RW93" s="131"/>
      <c r="RX93" s="33"/>
      <c r="RY93" s="33"/>
      <c r="RZ93" s="33"/>
      <c r="SA93" s="33"/>
      <c r="SB93" s="33"/>
      <c r="SC93" s="136"/>
      <c r="SD93" s="33"/>
      <c r="SE93" s="33"/>
      <c r="SF93" s="33"/>
      <c r="SG93" s="33"/>
      <c r="SH93" s="33"/>
      <c r="SI93" s="74"/>
      <c r="SJ93" s="33"/>
      <c r="SK93" s="33"/>
      <c r="SL93" s="33"/>
      <c r="SM93" s="33"/>
      <c r="SN93" s="33"/>
      <c r="SO93" s="136"/>
      <c r="SP93" s="33"/>
      <c r="SQ93" s="33"/>
      <c r="SR93" s="33"/>
      <c r="SS93" s="33"/>
      <c r="ST93" s="33"/>
      <c r="SU93" s="74"/>
      <c r="SV93" s="64"/>
      <c r="SW93" s="64"/>
      <c r="SX93" s="64"/>
      <c r="SY93" s="64"/>
      <c r="SZ93" s="33"/>
      <c r="TA93" s="136"/>
      <c r="TB93" s="33"/>
      <c r="TC93" s="33"/>
      <c r="TD93" s="33"/>
      <c r="TE93" s="33"/>
      <c r="TF93" s="33"/>
      <c r="TG93" s="74"/>
      <c r="TH93" s="33"/>
      <c r="TI93" s="33"/>
      <c r="TJ93" s="33"/>
      <c r="TK93" s="33"/>
      <c r="TL93" s="33"/>
      <c r="TM93" s="136"/>
      <c r="TN93" s="33"/>
      <c r="TO93" s="33"/>
      <c r="TP93" s="33"/>
      <c r="TQ93" s="33"/>
      <c r="TR93" s="33"/>
      <c r="TS93" s="74"/>
      <c r="TT93" s="33"/>
      <c r="TU93" s="33"/>
      <c r="TV93" s="33"/>
      <c r="TW93" s="33"/>
      <c r="TX93" s="33"/>
      <c r="TY93" s="34"/>
      <c r="TZ93" s="90"/>
    </row>
    <row r="94" spans="486:546" x14ac:dyDescent="0.25">
      <c r="RR94" s="36"/>
      <c r="RS94" s="65"/>
      <c r="RT94" s="65"/>
      <c r="RU94" s="65"/>
      <c r="RV94" s="37"/>
      <c r="RW94" s="132"/>
      <c r="RX94" s="37"/>
      <c r="RY94" s="37"/>
      <c r="RZ94" s="37"/>
      <c r="SA94" s="37"/>
      <c r="SB94" s="37"/>
      <c r="SC94" s="137"/>
      <c r="SD94" s="37"/>
      <c r="SE94" s="37"/>
      <c r="SF94" s="37"/>
      <c r="SG94" s="37"/>
      <c r="SH94" s="37"/>
      <c r="SI94" s="75"/>
      <c r="SJ94" s="37"/>
      <c r="SK94" s="37"/>
      <c r="SL94" s="37"/>
      <c r="SM94" s="37"/>
      <c r="SN94" s="37"/>
      <c r="SO94" s="137"/>
      <c r="SP94" s="37"/>
      <c r="SQ94" s="37"/>
      <c r="SR94" s="37"/>
      <c r="SS94" s="37"/>
      <c r="ST94" s="37"/>
      <c r="SU94" s="75"/>
      <c r="SV94" s="65"/>
      <c r="SW94" s="65"/>
      <c r="SX94" s="65"/>
      <c r="SY94" s="65"/>
      <c r="SZ94" s="37"/>
      <c r="TA94" s="137"/>
      <c r="TB94" s="37"/>
      <c r="TC94" s="37"/>
      <c r="TD94" s="37"/>
      <c r="TE94" s="37"/>
      <c r="TF94" s="37"/>
      <c r="TG94" s="75"/>
      <c r="TH94" s="37"/>
      <c r="TI94" s="37"/>
      <c r="TJ94" s="37"/>
      <c r="TK94" s="37"/>
      <c r="TL94" s="37"/>
      <c r="TM94" s="137"/>
      <c r="TN94" s="37"/>
      <c r="TO94" s="37"/>
      <c r="TP94" s="37"/>
      <c r="TQ94" s="37"/>
      <c r="TR94" s="37"/>
      <c r="TS94" s="75"/>
      <c r="TT94" s="37"/>
      <c r="TU94" s="37"/>
      <c r="TV94" s="37"/>
      <c r="TW94" s="37"/>
      <c r="TX94" s="37"/>
      <c r="TY94" s="38"/>
      <c r="TZ94" s="90"/>
    </row>
    <row r="95" spans="486:546" x14ac:dyDescent="0.2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90"/>
    </row>
    <row r="96" spans="486:546" ht="14.25" thickBot="1" x14ac:dyDescent="0.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90"/>
    </row>
    <row r="97" spans="486:546" x14ac:dyDescent="0.2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23"/>
    </row>
    <row r="98" spans="486:546" ht="14.25" thickBot="1" x14ac:dyDescent="0.3">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90"/>
    </row>
    <row r="99" spans="486:546" ht="14.25" thickBot="1" x14ac:dyDescent="0.3">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91"/>
    </row>
  </sheetData>
  <sheetProtection insertRows="0" insertHyperlinks="0" selectLockedCells="1"/>
  <mergeCells count="137">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CR10:DU10"/>
    <mergeCell ref="BN10:CP10"/>
    <mergeCell ref="BN11:DU11"/>
    <mergeCell ref="BN12:DU12"/>
    <mergeCell ref="IL13:KS13"/>
    <mergeCell ref="IP14:IS14"/>
    <mergeCell ref="IV14:IY14"/>
    <mergeCell ref="JB14:JE14"/>
    <mergeCell ref="JH14:JK14"/>
    <mergeCell ref="JN14:JQ14"/>
    <mergeCell ref="JT14:JW14"/>
    <mergeCell ref="JZ14:KC14"/>
    <mergeCell ref="KF14:KI14"/>
    <mergeCell ref="KL14:KO14"/>
    <mergeCell ref="FJ14:FM14"/>
    <mergeCell ref="FV14:FY14"/>
    <mergeCell ref="FD14:FG14"/>
    <mergeCell ref="ID14:IG14"/>
    <mergeCell ref="FP14:FS14"/>
    <mergeCell ref="GD10:IK10"/>
    <mergeCell ref="GD11:IK11"/>
    <mergeCell ref="G9:U9"/>
    <mergeCell ref="DZ14:EC14"/>
    <mergeCell ref="EL14:EO14"/>
    <mergeCell ref="C21:C22"/>
    <mergeCell ref="C15:C16"/>
    <mergeCell ref="C11:E12"/>
    <mergeCell ref="EX14:FA14"/>
    <mergeCell ref="C1:E1"/>
    <mergeCell ref="C7:E7"/>
    <mergeCell ref="F12:BM12"/>
    <mergeCell ref="F11:BM11"/>
    <mergeCell ref="W9:AG9"/>
    <mergeCell ref="AH9:AW9"/>
    <mergeCell ref="EF14:EI14"/>
    <mergeCell ref="ER14:EU14"/>
    <mergeCell ref="V14:Y14"/>
    <mergeCell ref="AB14:AE14"/>
    <mergeCell ref="AH14:AK14"/>
    <mergeCell ref="J14:M14"/>
    <mergeCell ref="P14:S14"/>
    <mergeCell ref="BN13:DU13"/>
    <mergeCell ref="DH14:DK14"/>
    <mergeCell ref="DN14:DQ14"/>
    <mergeCell ref="DV10:GC10"/>
    <mergeCell ref="C35:D36"/>
    <mergeCell ref="C31:C32"/>
    <mergeCell ref="C33:C34"/>
    <mergeCell ref="C37:D38"/>
    <mergeCell ref="CP14:CS14"/>
    <mergeCell ref="CV14:CY14"/>
    <mergeCell ref="DB14:DE14"/>
    <mergeCell ref="AN14:AQ14"/>
    <mergeCell ref="AT14:AW14"/>
    <mergeCell ref="AZ14:BC14"/>
    <mergeCell ref="BF14:BI14"/>
    <mergeCell ref="BR14:BU14"/>
    <mergeCell ref="BX14:CA14"/>
    <mergeCell ref="CD14:CG14"/>
    <mergeCell ref="CJ14:CM14"/>
    <mergeCell ref="C17:C18"/>
    <mergeCell ref="C23:C24"/>
    <mergeCell ref="C25:C26"/>
    <mergeCell ref="C27:C28"/>
    <mergeCell ref="C13:C14"/>
    <mergeCell ref="E13:E14"/>
    <mergeCell ref="C29:C30"/>
    <mergeCell ref="C19:C20"/>
    <mergeCell ref="F13:BM13"/>
    <mergeCell ref="DV11:GC11"/>
    <mergeCell ref="DV12:GC12"/>
    <mergeCell ref="DV13:GC13"/>
    <mergeCell ref="GD12:IK12"/>
    <mergeCell ref="GD13:IK13"/>
    <mergeCell ref="GH14:GK14"/>
    <mergeCell ref="GN14:GQ14"/>
    <mergeCell ref="GT14:GW14"/>
    <mergeCell ref="GZ14:HC14"/>
    <mergeCell ref="HF14:HI14"/>
    <mergeCell ref="HL14:HO14"/>
    <mergeCell ref="HR14:HU14"/>
    <mergeCell ref="HX14:IA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36"/>
    <dataValidation type="whole" allowBlank="1" showInputMessage="1" showErrorMessage="1" errorTitle="DureeTropLongue" error="Cette durée est invalide: ce n'est pas un chiffre entier positif ou elle dépasse la &quot;Durée totale&quot; définie plus haut ..." sqref="E17:E35">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96"/>
  <sheetViews>
    <sheetView showGridLines="0" zoomScale="85" zoomScaleNormal="85" zoomScaleSheetLayoutView="98" workbookViewId="0">
      <pane ySplit="1" topLeftCell="A72" activePane="bottomLeft" state="frozen"/>
      <selection activeCell="BC13" sqref="BC13"/>
      <selection pane="bottomLeft" activeCell="G96" sqref="G96"/>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4.4257812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8</v>
      </c>
      <c r="C2" s="162"/>
      <c r="D2" s="82" t="s">
        <v>15</v>
      </c>
      <c r="E2" s="94">
        <v>45366</v>
      </c>
      <c r="F2" s="125" t="s">
        <v>47</v>
      </c>
      <c r="G2" s="46"/>
    </row>
    <row r="3" spans="1:7" s="47" customFormat="1" ht="30" customHeight="1" thickBot="1" x14ac:dyDescent="0.3">
      <c r="A3" s="80" t="s">
        <v>5</v>
      </c>
      <c r="B3" s="149" t="s">
        <v>41</v>
      </c>
      <c r="C3" s="150"/>
      <c r="D3" s="80" t="s">
        <v>13</v>
      </c>
      <c r="E3" s="237" t="s">
        <v>14</v>
      </c>
      <c r="F3" s="238"/>
      <c r="G3" s="46"/>
    </row>
    <row r="4" spans="1:7" s="52" customFormat="1" x14ac:dyDescent="0.3">
      <c r="A4" s="48" t="s">
        <v>16</v>
      </c>
      <c r="B4" s="49">
        <v>7</v>
      </c>
      <c r="C4" s="151" t="str">
        <f xml:space="preserve"> IF(B4="","",setValueToTime(B4))</f>
        <v>0h35min</v>
      </c>
      <c r="D4" s="164" t="s">
        <v>66</v>
      </c>
      <c r="E4" s="245"/>
      <c r="F4" s="246"/>
      <c r="G4" s="51"/>
    </row>
    <row r="5" spans="1:7" s="52" customFormat="1" x14ac:dyDescent="0.3">
      <c r="A5" s="53" t="s">
        <v>53</v>
      </c>
      <c r="B5" s="54">
        <v>5</v>
      </c>
      <c r="C5" s="152" t="str">
        <f t="shared" ref="C5:C11" si="0" xml:space="preserve"> IF(B5="","",setValueToTime(B5))</f>
        <v>0h25min</v>
      </c>
      <c r="D5" s="165" t="s">
        <v>69</v>
      </c>
      <c r="E5" s="239"/>
      <c r="F5" s="240"/>
      <c r="G5" s="51"/>
    </row>
    <row r="6" spans="1:7" s="52" customFormat="1" x14ac:dyDescent="0.3">
      <c r="A6" s="53" t="s">
        <v>17</v>
      </c>
      <c r="B6" s="54">
        <v>2</v>
      </c>
      <c r="C6" s="152" t="str">
        <f t="shared" si="0"/>
        <v>0h10min</v>
      </c>
      <c r="D6" s="165" t="s">
        <v>56</v>
      </c>
      <c r="E6" s="239"/>
      <c r="F6" s="240"/>
      <c r="G6" s="51"/>
    </row>
    <row r="7" spans="1:7" s="52" customFormat="1" x14ac:dyDescent="0.3">
      <c r="A7" s="53" t="s">
        <v>52</v>
      </c>
      <c r="B7" s="54">
        <v>1</v>
      </c>
      <c r="C7" s="152" t="str">
        <f t="shared" si="0"/>
        <v>0h5min</v>
      </c>
      <c r="D7" s="165" t="s">
        <v>64</v>
      </c>
      <c r="E7" s="239"/>
      <c r="F7" s="240"/>
      <c r="G7" s="51"/>
    </row>
    <row r="8" spans="1:7" s="52" customFormat="1" x14ac:dyDescent="0.3">
      <c r="A8" s="54" t="s">
        <v>65</v>
      </c>
      <c r="B8" s="54">
        <v>3</v>
      </c>
      <c r="C8" s="153" t="str">
        <f t="shared" si="0"/>
        <v>0h15min</v>
      </c>
      <c r="D8" s="165" t="s">
        <v>68</v>
      </c>
      <c r="E8" s="239"/>
      <c r="F8" s="240"/>
      <c r="G8" s="51"/>
    </row>
    <row r="9" spans="1:7" s="52" customFormat="1" x14ac:dyDescent="0.3">
      <c r="A9" s="54"/>
      <c r="B9" s="54"/>
      <c r="C9" s="153" t="str">
        <f t="shared" si="0"/>
        <v/>
      </c>
      <c r="D9" s="55"/>
      <c r="E9" s="239"/>
      <c r="F9" s="240"/>
      <c r="G9" s="51"/>
    </row>
    <row r="10" spans="1:7" s="52" customFormat="1" x14ac:dyDescent="0.3">
      <c r="A10" s="54"/>
      <c r="B10" s="54"/>
      <c r="C10" s="153" t="str">
        <f t="shared" si="0"/>
        <v/>
      </c>
      <c r="D10" s="55"/>
      <c r="E10" s="239"/>
      <c r="F10" s="240"/>
      <c r="G10" s="51"/>
    </row>
    <row r="11" spans="1:7" s="52" customFormat="1" ht="15" thickBot="1" x14ac:dyDescent="0.35">
      <c r="A11" s="56"/>
      <c r="B11" s="56"/>
      <c r="C11" s="154" t="str">
        <f t="shared" si="0"/>
        <v/>
      </c>
      <c r="D11" s="57"/>
      <c r="E11" s="241"/>
      <c r="F11" s="242"/>
      <c r="G11" s="51"/>
    </row>
    <row r="12" spans="1:7" s="52" customFormat="1" ht="15" thickBot="1" x14ac:dyDescent="0.35">
      <c r="A12" s="110" t="s">
        <v>29</v>
      </c>
      <c r="B12" s="84">
        <f>SUM(B4:B11)</f>
        <v>18</v>
      </c>
      <c r="C12" s="110" t="str">
        <f xml:space="preserve"> setValueToTime(B12)</f>
        <v>1h30min</v>
      </c>
      <c r="D12" s="119"/>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2">
        <v>7</v>
      </c>
      <c r="C14" s="162"/>
      <c r="D14" s="82" t="s">
        <v>15</v>
      </c>
      <c r="E14" s="94">
        <v>45359</v>
      </c>
      <c r="F14" s="125" t="s">
        <v>47</v>
      </c>
      <c r="G14" s="46"/>
    </row>
    <row r="15" spans="1:7" s="47" customFormat="1" ht="30" customHeight="1" thickBot="1" x14ac:dyDescent="0.3">
      <c r="A15" s="80" t="s">
        <v>5</v>
      </c>
      <c r="B15" s="149" t="s">
        <v>41</v>
      </c>
      <c r="C15" s="150"/>
      <c r="D15" s="80" t="s">
        <v>13</v>
      </c>
      <c r="E15" s="237" t="s">
        <v>14</v>
      </c>
      <c r="F15" s="238"/>
      <c r="G15" s="46"/>
    </row>
    <row r="16" spans="1:7" s="52" customFormat="1" x14ac:dyDescent="0.3">
      <c r="A16" s="48" t="s">
        <v>16</v>
      </c>
      <c r="B16" s="49">
        <v>4</v>
      </c>
      <c r="C16" s="151" t="str">
        <f xml:space="preserve"> IF(B16="","",setValueToTime(B16))</f>
        <v>0h20min</v>
      </c>
      <c r="D16" s="164" t="s">
        <v>66</v>
      </c>
      <c r="E16" s="245"/>
      <c r="F16" s="246"/>
      <c r="G16" s="51"/>
    </row>
    <row r="17" spans="1:7" s="52" customFormat="1" x14ac:dyDescent="0.3">
      <c r="A17" s="53" t="s">
        <v>53</v>
      </c>
      <c r="B17" s="54">
        <v>8</v>
      </c>
      <c r="C17" s="152" t="str">
        <f t="shared" ref="C17:C23" si="1" xml:space="preserve"> IF(B17="","",setValueToTime(B17))</f>
        <v>0h40min</v>
      </c>
      <c r="D17" s="165" t="s">
        <v>67</v>
      </c>
      <c r="E17" s="239"/>
      <c r="F17" s="240"/>
      <c r="G17" s="51"/>
    </row>
    <row r="18" spans="1:7" s="52" customFormat="1" x14ac:dyDescent="0.3">
      <c r="A18" s="53" t="s">
        <v>17</v>
      </c>
      <c r="B18" s="54">
        <v>2</v>
      </c>
      <c r="C18" s="152" t="str">
        <f t="shared" si="1"/>
        <v>0h10min</v>
      </c>
      <c r="D18" s="165" t="s">
        <v>56</v>
      </c>
      <c r="E18" s="239"/>
      <c r="F18" s="240"/>
      <c r="G18" s="51"/>
    </row>
    <row r="19" spans="1:7" s="52" customFormat="1" x14ac:dyDescent="0.3">
      <c r="A19" s="53" t="s">
        <v>52</v>
      </c>
      <c r="B19" s="54">
        <v>1</v>
      </c>
      <c r="C19" s="152" t="str">
        <f t="shared" si="1"/>
        <v>0h5min</v>
      </c>
      <c r="D19" s="165" t="s">
        <v>64</v>
      </c>
      <c r="E19" s="239"/>
      <c r="F19" s="240"/>
      <c r="G19" s="51"/>
    </row>
    <row r="20" spans="1:7" s="52" customFormat="1" x14ac:dyDescent="0.3">
      <c r="A20" s="54" t="s">
        <v>65</v>
      </c>
      <c r="B20" s="54">
        <v>3</v>
      </c>
      <c r="C20" s="153" t="str">
        <f t="shared" si="1"/>
        <v>0h15min</v>
      </c>
      <c r="D20" s="165" t="s">
        <v>68</v>
      </c>
      <c r="E20" s="239"/>
      <c r="F20" s="240"/>
      <c r="G20" s="51"/>
    </row>
    <row r="21" spans="1:7" s="52" customFormat="1" x14ac:dyDescent="0.3">
      <c r="A21" s="54"/>
      <c r="B21" s="54"/>
      <c r="C21" s="153" t="str">
        <f t="shared" si="1"/>
        <v/>
      </c>
      <c r="D21" s="55"/>
      <c r="E21" s="239"/>
      <c r="F21" s="240"/>
      <c r="G21" s="51"/>
    </row>
    <row r="22" spans="1:7" s="52" customFormat="1" x14ac:dyDescent="0.3">
      <c r="A22" s="54"/>
      <c r="B22" s="54"/>
      <c r="C22" s="153" t="str">
        <f t="shared" si="1"/>
        <v/>
      </c>
      <c r="D22" s="55"/>
      <c r="E22" s="239"/>
      <c r="F22" s="240"/>
      <c r="G22" s="51"/>
    </row>
    <row r="23" spans="1:7" s="52" customFormat="1" ht="15" thickBot="1" x14ac:dyDescent="0.35">
      <c r="A23" s="56"/>
      <c r="B23" s="56"/>
      <c r="C23" s="154" t="str">
        <f t="shared" si="1"/>
        <v/>
      </c>
      <c r="D23" s="57"/>
      <c r="E23" s="241"/>
      <c r="F23" s="242"/>
      <c r="G23" s="51"/>
    </row>
    <row r="24" spans="1:7" s="52" customFormat="1" ht="15" thickBot="1" x14ac:dyDescent="0.35">
      <c r="A24" s="110" t="s">
        <v>29</v>
      </c>
      <c r="B24" s="84">
        <f>SUM(B16:B23)</f>
        <v>18</v>
      </c>
      <c r="C24" s="110" t="str">
        <f xml:space="preserve"> setValueToTime(B24)</f>
        <v>1h30min</v>
      </c>
      <c r="D24" s="119"/>
      <c r="E24" s="243"/>
      <c r="F24" s="244"/>
      <c r="G24" s="51"/>
    </row>
    <row r="25" spans="1:7" s="59" customFormat="1" ht="15" thickBot="1" x14ac:dyDescent="0.35">
      <c r="A25" s="79"/>
      <c r="B25" s="79"/>
      <c r="C25" s="79"/>
      <c r="D25" s="79"/>
      <c r="E25" s="79"/>
      <c r="F25" s="79"/>
      <c r="G25" s="58"/>
    </row>
    <row r="26" spans="1:7" s="47" customFormat="1" ht="30" customHeight="1" thickBot="1" x14ac:dyDescent="0.3">
      <c r="A26" s="81" t="s">
        <v>12</v>
      </c>
      <c r="B26" s="162">
        <v>6</v>
      </c>
      <c r="C26" s="162"/>
      <c r="D26" s="82" t="s">
        <v>15</v>
      </c>
      <c r="E26" s="94">
        <v>45352</v>
      </c>
      <c r="F26" s="125" t="s">
        <v>47</v>
      </c>
      <c r="G26" s="46"/>
    </row>
    <row r="27" spans="1:7" s="47" customFormat="1" ht="30" customHeight="1" thickBot="1" x14ac:dyDescent="0.3">
      <c r="A27" s="80" t="s">
        <v>5</v>
      </c>
      <c r="B27" s="149" t="s">
        <v>41</v>
      </c>
      <c r="C27" s="150"/>
      <c r="D27" s="80" t="s">
        <v>13</v>
      </c>
      <c r="E27" s="237" t="s">
        <v>14</v>
      </c>
      <c r="F27" s="238"/>
      <c r="G27" s="46"/>
    </row>
    <row r="28" spans="1:7" s="52" customFormat="1" x14ac:dyDescent="0.3">
      <c r="A28" s="48" t="s">
        <v>16</v>
      </c>
      <c r="B28" s="49">
        <v>7</v>
      </c>
      <c r="C28" s="151" t="str">
        <f xml:space="preserve"> IF(B28="","",setValueToTime(B28))</f>
        <v>0h35min</v>
      </c>
      <c r="D28" s="164" t="s">
        <v>66</v>
      </c>
      <c r="E28" s="245"/>
      <c r="F28" s="246"/>
      <c r="G28" s="51"/>
    </row>
    <row r="29" spans="1:7" s="52" customFormat="1" x14ac:dyDescent="0.3">
      <c r="A29" s="53" t="s">
        <v>53</v>
      </c>
      <c r="B29" s="54">
        <v>8</v>
      </c>
      <c r="C29" s="152" t="str">
        <f t="shared" ref="C29:C35" si="2" xml:space="preserve"> IF(B29="","",setValueToTime(B29))</f>
        <v>0h40min</v>
      </c>
      <c r="D29" s="165" t="s">
        <v>67</v>
      </c>
      <c r="E29" s="239"/>
      <c r="F29" s="240"/>
      <c r="G29" s="51"/>
    </row>
    <row r="30" spans="1:7" s="52" customFormat="1" x14ac:dyDescent="0.3">
      <c r="A30" s="53" t="s">
        <v>17</v>
      </c>
      <c r="B30" s="54">
        <v>2</v>
      </c>
      <c r="C30" s="152" t="str">
        <f t="shared" si="2"/>
        <v>0h10min</v>
      </c>
      <c r="D30" s="165" t="s">
        <v>56</v>
      </c>
      <c r="E30" s="239"/>
      <c r="F30" s="240"/>
      <c r="G30" s="51"/>
    </row>
    <row r="31" spans="1:7" s="52" customFormat="1" x14ac:dyDescent="0.3">
      <c r="A31" s="53" t="s">
        <v>52</v>
      </c>
      <c r="B31" s="54">
        <v>1</v>
      </c>
      <c r="C31" s="152" t="str">
        <f t="shared" si="2"/>
        <v>0h5min</v>
      </c>
      <c r="D31" s="165" t="s">
        <v>64</v>
      </c>
      <c r="E31" s="239"/>
      <c r="F31" s="240"/>
      <c r="G31" s="51"/>
    </row>
    <row r="32" spans="1:7" s="52" customFormat="1" x14ac:dyDescent="0.3">
      <c r="A32" s="54"/>
      <c r="B32" s="54"/>
      <c r="C32" s="153" t="str">
        <f t="shared" si="2"/>
        <v/>
      </c>
      <c r="D32" s="55"/>
      <c r="E32" s="239"/>
      <c r="F32" s="240"/>
      <c r="G32" s="51"/>
    </row>
    <row r="33" spans="1:7" s="52" customFormat="1" x14ac:dyDescent="0.3">
      <c r="A33" s="54"/>
      <c r="B33" s="54"/>
      <c r="C33" s="153" t="str">
        <f t="shared" si="2"/>
        <v/>
      </c>
      <c r="D33" s="55"/>
      <c r="E33" s="239"/>
      <c r="F33" s="240"/>
      <c r="G33" s="51"/>
    </row>
    <row r="34" spans="1:7" s="52" customFormat="1" x14ac:dyDescent="0.3">
      <c r="A34" s="54"/>
      <c r="B34" s="54"/>
      <c r="C34" s="153" t="str">
        <f t="shared" si="2"/>
        <v/>
      </c>
      <c r="D34" s="55"/>
      <c r="E34" s="239"/>
      <c r="F34" s="240"/>
      <c r="G34" s="51"/>
    </row>
    <row r="35" spans="1:7" s="52" customFormat="1" ht="15" thickBot="1" x14ac:dyDescent="0.35">
      <c r="A35" s="56"/>
      <c r="B35" s="56"/>
      <c r="C35" s="154" t="str">
        <f t="shared" si="2"/>
        <v/>
      </c>
      <c r="D35" s="57"/>
      <c r="E35" s="241"/>
      <c r="F35" s="242"/>
      <c r="G35" s="51"/>
    </row>
    <row r="36" spans="1:7" s="52" customFormat="1" ht="15" thickBot="1" x14ac:dyDescent="0.35">
      <c r="A36" s="110" t="s">
        <v>29</v>
      </c>
      <c r="B36" s="84">
        <f>SUM(B28:B35)</f>
        <v>18</v>
      </c>
      <c r="C36" s="110" t="str">
        <f xml:space="preserve"> setValueToTime(B36)</f>
        <v>1h30min</v>
      </c>
      <c r="D36" s="119"/>
      <c r="E36" s="243"/>
      <c r="F36" s="244"/>
      <c r="G36" s="51"/>
    </row>
    <row r="37" spans="1:7" s="59" customFormat="1" ht="15" thickBot="1" x14ac:dyDescent="0.35">
      <c r="A37" s="79"/>
      <c r="B37" s="79"/>
      <c r="C37" s="79"/>
      <c r="D37" s="79"/>
      <c r="E37" s="79"/>
      <c r="F37" s="79"/>
      <c r="G37" s="58"/>
    </row>
    <row r="38" spans="1:7" s="47" customFormat="1" ht="30" customHeight="1" thickBot="1" x14ac:dyDescent="0.3">
      <c r="A38" s="81" t="s">
        <v>12</v>
      </c>
      <c r="B38" s="162">
        <v>5</v>
      </c>
      <c r="C38" s="162"/>
      <c r="D38" s="82" t="s">
        <v>15</v>
      </c>
      <c r="E38" s="94">
        <v>45345</v>
      </c>
      <c r="F38" s="125" t="s">
        <v>47</v>
      </c>
      <c r="G38" s="46"/>
    </row>
    <row r="39" spans="1:7" s="47" customFormat="1" ht="30" customHeight="1" thickBot="1" x14ac:dyDescent="0.3">
      <c r="A39" s="80" t="s">
        <v>5</v>
      </c>
      <c r="B39" s="149" t="s">
        <v>41</v>
      </c>
      <c r="C39" s="150"/>
      <c r="D39" s="80" t="s">
        <v>13</v>
      </c>
      <c r="E39" s="237" t="s">
        <v>14</v>
      </c>
      <c r="F39" s="238"/>
      <c r="G39" s="46"/>
    </row>
    <row r="40" spans="1:7" s="52" customFormat="1" x14ac:dyDescent="0.3">
      <c r="A40" s="48" t="s">
        <v>54</v>
      </c>
      <c r="B40" s="49">
        <v>5</v>
      </c>
      <c r="C40" s="151" t="str">
        <f xml:space="preserve"> IF(B40="","",setValueToTime(B40))</f>
        <v>0h25min</v>
      </c>
      <c r="D40" s="164" t="s">
        <v>61</v>
      </c>
      <c r="E40" s="245"/>
      <c r="F40" s="246"/>
      <c r="G40" s="51"/>
    </row>
    <row r="41" spans="1:7" s="52" customFormat="1" ht="27" x14ac:dyDescent="0.3">
      <c r="A41" s="53" t="s">
        <v>53</v>
      </c>
      <c r="B41" s="54">
        <v>10</v>
      </c>
      <c r="C41" s="152" t="str">
        <f t="shared" ref="C41:C47" si="3" xml:space="preserve"> IF(B41="","",setValueToTime(B41))</f>
        <v>0h50min</v>
      </c>
      <c r="D41" s="165" t="s">
        <v>62</v>
      </c>
      <c r="E41" s="239"/>
      <c r="F41" s="240"/>
      <c r="G41" s="51"/>
    </row>
    <row r="42" spans="1:7" s="52" customFormat="1" x14ac:dyDescent="0.3">
      <c r="A42" s="53" t="s">
        <v>17</v>
      </c>
      <c r="B42" s="54">
        <v>2</v>
      </c>
      <c r="C42" s="152" t="str">
        <f t="shared" si="3"/>
        <v>0h10min</v>
      </c>
      <c r="D42" s="165" t="s">
        <v>56</v>
      </c>
      <c r="E42" s="239"/>
      <c r="F42" s="240"/>
      <c r="G42" s="51"/>
    </row>
    <row r="43" spans="1:7" s="52" customFormat="1" x14ac:dyDescent="0.3">
      <c r="A43" s="53" t="s">
        <v>52</v>
      </c>
      <c r="B43" s="54">
        <v>1</v>
      </c>
      <c r="C43" s="152" t="str">
        <f t="shared" si="3"/>
        <v>0h5min</v>
      </c>
      <c r="D43" s="165" t="s">
        <v>63</v>
      </c>
      <c r="E43" s="239"/>
      <c r="F43" s="240"/>
      <c r="G43" s="51"/>
    </row>
    <row r="44" spans="1:7" s="52" customFormat="1" x14ac:dyDescent="0.3">
      <c r="A44" s="54"/>
      <c r="B44" s="54"/>
      <c r="C44" s="153" t="str">
        <f t="shared" si="3"/>
        <v/>
      </c>
      <c r="D44" s="55"/>
      <c r="E44" s="239"/>
      <c r="F44" s="240"/>
      <c r="G44" s="51"/>
    </row>
    <row r="45" spans="1:7" s="52" customFormat="1" x14ac:dyDescent="0.3">
      <c r="A45" s="54"/>
      <c r="B45" s="54"/>
      <c r="C45" s="153" t="str">
        <f t="shared" si="3"/>
        <v/>
      </c>
      <c r="D45" s="55"/>
      <c r="E45" s="239"/>
      <c r="F45" s="240"/>
      <c r="G45" s="51"/>
    </row>
    <row r="46" spans="1:7" s="52" customFormat="1" x14ac:dyDescent="0.3">
      <c r="A46" s="54"/>
      <c r="B46" s="54"/>
      <c r="C46" s="153" t="str">
        <f t="shared" si="3"/>
        <v/>
      </c>
      <c r="D46" s="55"/>
      <c r="E46" s="239"/>
      <c r="F46" s="240"/>
      <c r="G46" s="51"/>
    </row>
    <row r="47" spans="1:7" s="52" customFormat="1" ht="15" thickBot="1" x14ac:dyDescent="0.35">
      <c r="A47" s="56"/>
      <c r="B47" s="56"/>
      <c r="C47" s="154" t="str">
        <f t="shared" si="3"/>
        <v/>
      </c>
      <c r="D47" s="57"/>
      <c r="E47" s="241"/>
      <c r="F47" s="242"/>
      <c r="G47" s="51"/>
    </row>
    <row r="48" spans="1:7" s="52" customFormat="1" ht="15" thickBot="1" x14ac:dyDescent="0.35">
      <c r="A48" s="110" t="s">
        <v>29</v>
      </c>
      <c r="B48" s="84">
        <f>SUM(B40:B47)</f>
        <v>18</v>
      </c>
      <c r="C48" s="110" t="str">
        <f xml:space="preserve"> setValueToTime(B48)</f>
        <v>1h30min</v>
      </c>
      <c r="D48" s="119"/>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2">
        <v>4</v>
      </c>
      <c r="C50" s="162"/>
      <c r="D50" s="82" t="s">
        <v>15</v>
      </c>
      <c r="E50" s="94">
        <v>45331</v>
      </c>
      <c r="F50" s="125" t="s">
        <v>47</v>
      </c>
      <c r="G50" s="46"/>
    </row>
    <row r="51" spans="1:7" s="47" customFormat="1" ht="30" customHeight="1" thickBot="1" x14ac:dyDescent="0.3">
      <c r="A51" s="80" t="s">
        <v>5</v>
      </c>
      <c r="B51" s="149" t="s">
        <v>41</v>
      </c>
      <c r="C51" s="150"/>
      <c r="D51" s="80" t="s">
        <v>13</v>
      </c>
      <c r="E51" s="237" t="s">
        <v>14</v>
      </c>
      <c r="F51" s="238"/>
      <c r="G51" s="46"/>
    </row>
    <row r="52" spans="1:7" s="52" customFormat="1" x14ac:dyDescent="0.3">
      <c r="A52" s="48" t="s">
        <v>54</v>
      </c>
      <c r="B52" s="49">
        <v>9</v>
      </c>
      <c r="C52" s="151" t="str">
        <f xml:space="preserve"> IF(B52="","",setValueToTime(B52))</f>
        <v>0h45min</v>
      </c>
      <c r="D52" s="164" t="s">
        <v>59</v>
      </c>
      <c r="E52" s="245"/>
      <c r="F52" s="246"/>
      <c r="G52" s="51"/>
    </row>
    <row r="53" spans="1:7" s="52" customFormat="1" ht="27" x14ac:dyDescent="0.3">
      <c r="A53" s="53" t="s">
        <v>51</v>
      </c>
      <c r="B53" s="54">
        <v>6</v>
      </c>
      <c r="C53" s="152" t="str">
        <f t="shared" ref="C53:C59" si="4" xml:space="preserve"> IF(B53="","",setValueToTime(B53))</f>
        <v>0h30min</v>
      </c>
      <c r="D53" s="165" t="s">
        <v>60</v>
      </c>
      <c r="E53" s="247"/>
      <c r="F53" s="240"/>
      <c r="G53" s="51"/>
    </row>
    <row r="54" spans="1:7" s="52" customFormat="1" x14ac:dyDescent="0.3">
      <c r="A54" s="53" t="s">
        <v>17</v>
      </c>
      <c r="B54" s="54">
        <v>3</v>
      </c>
      <c r="C54" s="152" t="str">
        <f t="shared" si="4"/>
        <v>0h15min</v>
      </c>
      <c r="D54" s="165" t="s">
        <v>56</v>
      </c>
      <c r="E54" s="239"/>
      <c r="F54" s="240"/>
      <c r="G54" s="51"/>
    </row>
    <row r="55" spans="1:7" s="52" customFormat="1" x14ac:dyDescent="0.3">
      <c r="A55" s="53"/>
      <c r="B55" s="54"/>
      <c r="C55" s="152" t="str">
        <f t="shared" si="4"/>
        <v/>
      </c>
      <c r="D55" s="55"/>
      <c r="E55" s="239"/>
      <c r="F55" s="240"/>
      <c r="G55" s="51"/>
    </row>
    <row r="56" spans="1:7" s="52" customFormat="1" x14ac:dyDescent="0.3">
      <c r="A56" s="54"/>
      <c r="B56" s="54"/>
      <c r="C56" s="153" t="str">
        <f t="shared" si="4"/>
        <v/>
      </c>
      <c r="D56" s="55"/>
      <c r="E56" s="239"/>
      <c r="F56" s="240"/>
      <c r="G56" s="51"/>
    </row>
    <row r="57" spans="1:7" s="52" customFormat="1" x14ac:dyDescent="0.3">
      <c r="A57" s="54"/>
      <c r="B57" s="54"/>
      <c r="C57" s="153" t="str">
        <f t="shared" si="4"/>
        <v/>
      </c>
      <c r="D57" s="55"/>
      <c r="E57" s="239"/>
      <c r="F57" s="240"/>
      <c r="G57" s="51"/>
    </row>
    <row r="58" spans="1:7" s="52" customFormat="1" x14ac:dyDescent="0.3">
      <c r="A58" s="54"/>
      <c r="B58" s="54"/>
      <c r="C58" s="153" t="str">
        <f t="shared" si="4"/>
        <v/>
      </c>
      <c r="D58" s="55"/>
      <c r="E58" s="239"/>
      <c r="F58" s="240"/>
      <c r="G58" s="51"/>
    </row>
    <row r="59" spans="1:7" s="52" customFormat="1" ht="15" thickBot="1" x14ac:dyDescent="0.35">
      <c r="A59" s="56"/>
      <c r="B59" s="56"/>
      <c r="C59" s="154" t="str">
        <f t="shared" si="4"/>
        <v/>
      </c>
      <c r="D59" s="57"/>
      <c r="E59" s="241"/>
      <c r="F59" s="242"/>
      <c r="G59" s="51"/>
    </row>
    <row r="60" spans="1:7" s="52" customFormat="1" ht="15" thickBot="1" x14ac:dyDescent="0.35">
      <c r="A60" s="110" t="s">
        <v>29</v>
      </c>
      <c r="B60" s="84">
        <f>SUM(B52:B59)</f>
        <v>18</v>
      </c>
      <c r="C60" s="110" t="str">
        <f xml:space="preserve"> setValueToTime(B60)</f>
        <v>1h30min</v>
      </c>
      <c r="D60" s="119"/>
      <c r="E60" s="243"/>
      <c r="F60" s="244"/>
      <c r="G60" s="51"/>
    </row>
    <row r="61" spans="1:7" s="59" customFormat="1" ht="15" thickBot="1" x14ac:dyDescent="0.35">
      <c r="A61" s="79"/>
      <c r="B61" s="79"/>
      <c r="C61" s="79"/>
      <c r="D61" s="79"/>
      <c r="E61" s="79"/>
      <c r="F61" s="79"/>
      <c r="G61" s="58"/>
    </row>
    <row r="62" spans="1:7" s="47" customFormat="1" ht="30" customHeight="1" thickBot="1" x14ac:dyDescent="0.3">
      <c r="A62" s="81" t="s">
        <v>12</v>
      </c>
      <c r="B62" s="162">
        <v>3</v>
      </c>
      <c r="C62" s="162"/>
      <c r="D62" s="82" t="s">
        <v>15</v>
      </c>
      <c r="E62" s="94">
        <v>45324</v>
      </c>
      <c r="F62" s="125" t="s">
        <v>47</v>
      </c>
      <c r="G62" s="46"/>
    </row>
    <row r="63" spans="1:7" s="47" customFormat="1" ht="30" customHeight="1" thickBot="1" x14ac:dyDescent="0.3">
      <c r="A63" s="80" t="s">
        <v>5</v>
      </c>
      <c r="B63" s="149" t="s">
        <v>41</v>
      </c>
      <c r="C63" s="150"/>
      <c r="D63" s="80" t="s">
        <v>13</v>
      </c>
      <c r="E63" s="237" t="s">
        <v>14</v>
      </c>
      <c r="F63" s="238"/>
      <c r="G63" s="46"/>
    </row>
    <row r="64" spans="1:7" s="52" customFormat="1" ht="27" x14ac:dyDescent="0.3">
      <c r="A64" s="53" t="s">
        <v>51</v>
      </c>
      <c r="B64" s="54">
        <v>16</v>
      </c>
      <c r="C64" s="152" t="str">
        <f t="shared" ref="C64:C70" si="5" xml:space="preserve"> IF(B64="","",setValueToTime(B64))</f>
        <v>1h20min</v>
      </c>
      <c r="D64" s="165" t="s">
        <v>60</v>
      </c>
      <c r="E64" s="247"/>
      <c r="F64" s="240"/>
      <c r="G64" s="51"/>
    </row>
    <row r="65" spans="1:7" s="52" customFormat="1" x14ac:dyDescent="0.3">
      <c r="A65" s="53" t="s">
        <v>17</v>
      </c>
      <c r="B65" s="54">
        <v>2</v>
      </c>
      <c r="C65" s="152" t="str">
        <f t="shared" si="5"/>
        <v>0h10min</v>
      </c>
      <c r="D65" s="165" t="s">
        <v>56</v>
      </c>
      <c r="E65" s="239"/>
      <c r="F65" s="240"/>
      <c r="G65" s="51"/>
    </row>
    <row r="66" spans="1:7" s="52" customFormat="1" x14ac:dyDescent="0.3">
      <c r="A66" s="53"/>
      <c r="B66" s="54"/>
      <c r="C66" s="152" t="str">
        <f t="shared" si="5"/>
        <v/>
      </c>
      <c r="D66" s="55"/>
      <c r="E66" s="239"/>
      <c r="F66" s="240"/>
      <c r="G66" s="51"/>
    </row>
    <row r="67" spans="1:7" s="52" customFormat="1" x14ac:dyDescent="0.3">
      <c r="A67" s="54"/>
      <c r="B67" s="54"/>
      <c r="C67" s="153" t="str">
        <f t="shared" si="5"/>
        <v/>
      </c>
      <c r="D67" s="55"/>
      <c r="E67" s="239"/>
      <c r="F67" s="240"/>
      <c r="G67" s="51"/>
    </row>
    <row r="68" spans="1:7" s="52" customFormat="1" x14ac:dyDescent="0.3">
      <c r="A68" s="54"/>
      <c r="B68" s="54"/>
      <c r="C68" s="153" t="str">
        <f t="shared" si="5"/>
        <v/>
      </c>
      <c r="D68" s="55"/>
      <c r="E68" s="239"/>
      <c r="F68" s="240"/>
      <c r="G68" s="51"/>
    </row>
    <row r="69" spans="1:7" s="52" customFormat="1" x14ac:dyDescent="0.3">
      <c r="A69" s="54"/>
      <c r="B69" s="54"/>
      <c r="C69" s="153" t="str">
        <f t="shared" si="5"/>
        <v/>
      </c>
      <c r="D69" s="55"/>
      <c r="E69" s="239"/>
      <c r="F69" s="240"/>
      <c r="G69" s="51"/>
    </row>
    <row r="70" spans="1:7" s="52" customFormat="1" ht="15" thickBot="1" x14ac:dyDescent="0.35">
      <c r="A70" s="56"/>
      <c r="B70" s="56"/>
      <c r="C70" s="154" t="str">
        <f t="shared" si="5"/>
        <v/>
      </c>
      <c r="D70" s="57"/>
      <c r="E70" s="241"/>
      <c r="F70" s="242"/>
      <c r="G70" s="51"/>
    </row>
    <row r="71" spans="1:7" s="52" customFormat="1" ht="15" thickBot="1" x14ac:dyDescent="0.35">
      <c r="A71" s="110" t="s">
        <v>29</v>
      </c>
      <c r="B71" s="84">
        <f>SUM(B64:B70)</f>
        <v>18</v>
      </c>
      <c r="C71" s="110" t="str">
        <f xml:space="preserve"> setValueToTime(B71)</f>
        <v>1h30min</v>
      </c>
      <c r="D71" s="119"/>
      <c r="E71" s="243"/>
      <c r="F71" s="244"/>
      <c r="G71" s="51"/>
    </row>
    <row r="72" spans="1:7" s="59" customFormat="1" ht="15" thickBot="1" x14ac:dyDescent="0.35">
      <c r="A72" s="79"/>
      <c r="B72" s="79"/>
      <c r="C72" s="79"/>
      <c r="D72" s="79"/>
      <c r="E72" s="79"/>
      <c r="F72" s="79"/>
      <c r="G72" s="58"/>
    </row>
    <row r="73" spans="1:7" s="47" customFormat="1" ht="30" customHeight="1" thickBot="1" x14ac:dyDescent="0.3">
      <c r="A73" s="81" t="s">
        <v>12</v>
      </c>
      <c r="B73" s="162">
        <v>2</v>
      </c>
      <c r="C73" s="162"/>
      <c r="D73" s="82" t="s">
        <v>15</v>
      </c>
      <c r="E73" s="94">
        <v>45317</v>
      </c>
      <c r="F73" s="125" t="s">
        <v>47</v>
      </c>
      <c r="G73" s="46"/>
    </row>
    <row r="74" spans="1:7" s="47" customFormat="1" ht="30" customHeight="1" thickBot="1" x14ac:dyDescent="0.3">
      <c r="A74" s="80" t="s">
        <v>5</v>
      </c>
      <c r="B74" s="149" t="s">
        <v>41</v>
      </c>
      <c r="C74" s="150"/>
      <c r="D74" s="80" t="s">
        <v>13</v>
      </c>
      <c r="E74" s="237" t="s">
        <v>14</v>
      </c>
      <c r="F74" s="238"/>
      <c r="G74" s="46"/>
    </row>
    <row r="75" spans="1:7" s="52" customFormat="1" x14ac:dyDescent="0.3">
      <c r="A75" s="48" t="s">
        <v>32</v>
      </c>
      <c r="B75" s="49">
        <v>6</v>
      </c>
      <c r="C75" s="151" t="str">
        <f xml:space="preserve"> IF(B75="","",setValueToTime(B75))</f>
        <v>0h30min</v>
      </c>
      <c r="D75" s="164" t="s">
        <v>55</v>
      </c>
      <c r="E75" s="245"/>
      <c r="F75" s="246"/>
      <c r="G75" s="51"/>
    </row>
    <row r="76" spans="1:7" s="52" customFormat="1" x14ac:dyDescent="0.3">
      <c r="A76" s="53" t="s">
        <v>17</v>
      </c>
      <c r="B76" s="54">
        <v>3</v>
      </c>
      <c r="C76" s="152" t="str">
        <f t="shared" ref="C76:C82" si="6" xml:space="preserve"> IF(B76="","",setValueToTime(B76))</f>
        <v>0h15min</v>
      </c>
      <c r="D76" s="165" t="s">
        <v>56</v>
      </c>
      <c r="E76" s="239"/>
      <c r="F76" s="240"/>
      <c r="G76" s="51"/>
    </row>
    <row r="77" spans="1:7" s="52" customFormat="1" x14ac:dyDescent="0.3">
      <c r="A77" s="53" t="s">
        <v>50</v>
      </c>
      <c r="B77" s="54">
        <v>9</v>
      </c>
      <c r="C77" s="152" t="str">
        <f t="shared" si="6"/>
        <v>0h45min</v>
      </c>
      <c r="D77" s="165" t="s">
        <v>58</v>
      </c>
      <c r="E77" s="239"/>
      <c r="F77" s="240"/>
      <c r="G77" s="51"/>
    </row>
    <row r="78" spans="1:7" s="52" customFormat="1" x14ac:dyDescent="0.3">
      <c r="A78" s="53"/>
      <c r="B78" s="54"/>
      <c r="C78" s="152" t="str">
        <f t="shared" si="6"/>
        <v/>
      </c>
      <c r="D78" s="55"/>
      <c r="E78" s="239"/>
      <c r="F78" s="240"/>
      <c r="G78" s="51"/>
    </row>
    <row r="79" spans="1:7" s="52" customFormat="1" x14ac:dyDescent="0.3">
      <c r="A79" s="54"/>
      <c r="B79" s="54"/>
      <c r="C79" s="153" t="str">
        <f t="shared" si="6"/>
        <v/>
      </c>
      <c r="D79" s="55"/>
      <c r="E79" s="239"/>
      <c r="F79" s="240"/>
      <c r="G79" s="51"/>
    </row>
    <row r="80" spans="1:7" s="52" customFormat="1" x14ac:dyDescent="0.3">
      <c r="A80" s="54"/>
      <c r="B80" s="54"/>
      <c r="C80" s="153" t="str">
        <f t="shared" si="6"/>
        <v/>
      </c>
      <c r="D80" s="55"/>
      <c r="E80" s="239"/>
      <c r="F80" s="240"/>
      <c r="G80" s="51"/>
    </row>
    <row r="81" spans="1:7" s="52" customFormat="1" x14ac:dyDescent="0.3">
      <c r="A81" s="54"/>
      <c r="B81" s="54"/>
      <c r="C81" s="153" t="str">
        <f t="shared" si="6"/>
        <v/>
      </c>
      <c r="D81" s="55"/>
      <c r="E81" s="239"/>
      <c r="F81" s="240"/>
      <c r="G81" s="51"/>
    </row>
    <row r="82" spans="1:7" s="52" customFormat="1" ht="15" thickBot="1" x14ac:dyDescent="0.35">
      <c r="A82" s="56"/>
      <c r="B82" s="56"/>
      <c r="C82" s="154" t="str">
        <f t="shared" si="6"/>
        <v/>
      </c>
      <c r="D82" s="57"/>
      <c r="E82" s="241"/>
      <c r="F82" s="242"/>
      <c r="G82" s="51"/>
    </row>
    <row r="83" spans="1:7" s="52" customFormat="1" ht="15" thickBot="1" x14ac:dyDescent="0.35">
      <c r="A83" s="110" t="s">
        <v>29</v>
      </c>
      <c r="B83" s="84">
        <f>SUM(B75:B82)</f>
        <v>18</v>
      </c>
      <c r="C83" s="110" t="str">
        <f xml:space="preserve"> setValueToTime(B83)</f>
        <v>1h30min</v>
      </c>
      <c r="D83" s="119"/>
      <c r="E83" s="243"/>
      <c r="F83" s="244"/>
      <c r="G83" s="51"/>
    </row>
    <row r="84" spans="1:7" s="59" customFormat="1" ht="15" thickBot="1" x14ac:dyDescent="0.35">
      <c r="A84" s="79"/>
      <c r="B84" s="79"/>
      <c r="C84" s="79"/>
      <c r="D84" s="79"/>
      <c r="E84" s="79"/>
      <c r="F84" s="79"/>
      <c r="G84" s="58"/>
    </row>
    <row r="85" spans="1:7" s="47" customFormat="1" ht="30" customHeight="1" thickBot="1" x14ac:dyDescent="0.3">
      <c r="A85" s="81" t="s">
        <v>12</v>
      </c>
      <c r="B85" s="162">
        <v>1</v>
      </c>
      <c r="C85" s="162"/>
      <c r="D85" s="82" t="s">
        <v>15</v>
      </c>
      <c r="E85" s="94">
        <v>45310</v>
      </c>
      <c r="F85" s="125" t="s">
        <v>47</v>
      </c>
      <c r="G85" s="46"/>
    </row>
    <row r="86" spans="1:7" s="47" customFormat="1" ht="30" customHeight="1" thickBot="1" x14ac:dyDescent="0.3">
      <c r="A86" s="80" t="s">
        <v>5</v>
      </c>
      <c r="B86" s="149" t="s">
        <v>41</v>
      </c>
      <c r="C86" s="150"/>
      <c r="D86" s="80" t="s">
        <v>13</v>
      </c>
      <c r="E86" s="237" t="s">
        <v>14</v>
      </c>
      <c r="F86" s="238"/>
      <c r="G86" s="46"/>
    </row>
    <row r="87" spans="1:7" s="52" customFormat="1" x14ac:dyDescent="0.3">
      <c r="A87" s="48" t="s">
        <v>32</v>
      </c>
      <c r="B87" s="49">
        <v>8</v>
      </c>
      <c r="C87" s="151" t="str">
        <f xml:space="preserve"> IF(B87="","",setValueToTime(B87))</f>
        <v>0h40min</v>
      </c>
      <c r="D87" s="164" t="s">
        <v>55</v>
      </c>
      <c r="E87" s="245"/>
      <c r="F87" s="246"/>
      <c r="G87" s="51"/>
    </row>
    <row r="88" spans="1:7" s="52" customFormat="1" x14ac:dyDescent="0.3">
      <c r="A88" s="53" t="s">
        <v>17</v>
      </c>
      <c r="B88" s="54">
        <v>2</v>
      </c>
      <c r="C88" s="152" t="str">
        <f t="shared" ref="C88:C94" si="7" xml:space="preserve"> IF(B88="","",setValueToTime(B88))</f>
        <v>0h10min</v>
      </c>
      <c r="D88" s="165" t="s">
        <v>56</v>
      </c>
      <c r="E88" s="239"/>
      <c r="F88" s="240"/>
      <c r="G88" s="51"/>
    </row>
    <row r="89" spans="1:7" s="52" customFormat="1" x14ac:dyDescent="0.3">
      <c r="A89" s="53" t="s">
        <v>50</v>
      </c>
      <c r="B89" s="54">
        <v>8</v>
      </c>
      <c r="C89" s="152" t="str">
        <f t="shared" si="7"/>
        <v>0h40min</v>
      </c>
      <c r="D89" s="165" t="s">
        <v>57</v>
      </c>
      <c r="E89" s="239"/>
      <c r="F89" s="240"/>
      <c r="G89" s="51"/>
    </row>
    <row r="90" spans="1:7" s="52" customFormat="1" x14ac:dyDescent="0.3">
      <c r="A90" s="53"/>
      <c r="B90" s="54"/>
      <c r="C90" s="152" t="str">
        <f t="shared" si="7"/>
        <v/>
      </c>
      <c r="D90" s="55"/>
      <c r="E90" s="239"/>
      <c r="F90" s="240"/>
      <c r="G90" s="51"/>
    </row>
    <row r="91" spans="1:7" s="52" customFormat="1" x14ac:dyDescent="0.3">
      <c r="A91" s="54"/>
      <c r="B91" s="54"/>
      <c r="C91" s="153" t="str">
        <f t="shared" si="7"/>
        <v/>
      </c>
      <c r="D91" s="55"/>
      <c r="E91" s="239"/>
      <c r="F91" s="240"/>
      <c r="G91" s="51"/>
    </row>
    <row r="92" spans="1:7" s="52" customFormat="1" x14ac:dyDescent="0.3">
      <c r="A92" s="54"/>
      <c r="B92" s="54"/>
      <c r="C92" s="153" t="str">
        <f t="shared" si="7"/>
        <v/>
      </c>
      <c r="D92" s="55"/>
      <c r="E92" s="239"/>
      <c r="F92" s="240"/>
      <c r="G92" s="51"/>
    </row>
    <row r="93" spans="1:7" s="52" customFormat="1" x14ac:dyDescent="0.3">
      <c r="A93" s="54"/>
      <c r="B93" s="54"/>
      <c r="C93" s="153" t="str">
        <f t="shared" si="7"/>
        <v/>
      </c>
      <c r="D93" s="55"/>
      <c r="E93" s="239"/>
      <c r="F93" s="240"/>
      <c r="G93" s="51"/>
    </row>
    <row r="94" spans="1:7" s="52" customFormat="1" ht="15" thickBot="1" x14ac:dyDescent="0.35">
      <c r="A94" s="56"/>
      <c r="B94" s="56"/>
      <c r="C94" s="154" t="str">
        <f t="shared" si="7"/>
        <v/>
      </c>
      <c r="D94" s="57"/>
      <c r="E94" s="241"/>
      <c r="F94" s="242"/>
      <c r="G94" s="51"/>
    </row>
    <row r="95" spans="1:7" s="52" customFormat="1" ht="15" thickBot="1" x14ac:dyDescent="0.35">
      <c r="A95" s="110" t="s">
        <v>29</v>
      </c>
      <c r="B95" s="84">
        <f>SUM(B87:B94)</f>
        <v>18</v>
      </c>
      <c r="C95" s="110" t="str">
        <f xml:space="preserve"> setValueToTime(B95)</f>
        <v>1h30min</v>
      </c>
      <c r="D95" s="119"/>
      <c r="E95" s="243"/>
      <c r="F95" s="244"/>
      <c r="G95" s="51"/>
    </row>
    <row r="96" spans="1:7" s="59" customFormat="1" x14ac:dyDescent="0.3">
      <c r="A96" s="79"/>
      <c r="B96" s="79"/>
      <c r="C96" s="79"/>
      <c r="D96" s="79"/>
      <c r="E96" s="79"/>
      <c r="F96" s="79"/>
      <c r="G96" s="58"/>
    </row>
  </sheetData>
  <sheetProtection formatRows="0" insertRows="0" insertHyperlinks="0" deleteRows="0" selectLockedCells="1"/>
  <mergeCells count="79">
    <mergeCell ref="E92:F92"/>
    <mergeCell ref="E93:F93"/>
    <mergeCell ref="E94:F94"/>
    <mergeCell ref="E95:F95"/>
    <mergeCell ref="E74:F74"/>
    <mergeCell ref="E75:F75"/>
    <mergeCell ref="E76:F76"/>
    <mergeCell ref="E77:F77"/>
    <mergeCell ref="E78:F78"/>
    <mergeCell ref="E79:F79"/>
    <mergeCell ref="E86:F86"/>
    <mergeCell ref="E87:F87"/>
    <mergeCell ref="E88:F88"/>
    <mergeCell ref="E89:F89"/>
    <mergeCell ref="E90:F90"/>
    <mergeCell ref="E91:F91"/>
    <mergeCell ref="E80:F80"/>
    <mergeCell ref="E81:F81"/>
    <mergeCell ref="E82:F82"/>
    <mergeCell ref="E83:F83"/>
    <mergeCell ref="E63:F63"/>
    <mergeCell ref="E64:F64"/>
    <mergeCell ref="E65:F65"/>
    <mergeCell ref="E66:F66"/>
    <mergeCell ref="E67:F67"/>
    <mergeCell ref="E68:F68"/>
    <mergeCell ref="E69:F69"/>
    <mergeCell ref="E70:F70"/>
    <mergeCell ref="E71:F71"/>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33:F33"/>
    <mergeCell ref="E34:F34"/>
    <mergeCell ref="E35:F35"/>
    <mergeCell ref="E36:F36"/>
    <mergeCell ref="E27:F27"/>
    <mergeCell ref="E28:F28"/>
    <mergeCell ref="E29:F29"/>
    <mergeCell ref="E30:F30"/>
    <mergeCell ref="E31:F31"/>
    <mergeCell ref="E16:F16"/>
    <mergeCell ref="E17:F17"/>
    <mergeCell ref="E18:F18"/>
    <mergeCell ref="E19:F19"/>
    <mergeCell ref="E32:F32"/>
    <mergeCell ref="E20:F20"/>
    <mergeCell ref="E22:F22"/>
    <mergeCell ref="E23:F23"/>
    <mergeCell ref="E24:F24"/>
    <mergeCell ref="E21:F21"/>
    <mergeCell ref="E3:F3"/>
    <mergeCell ref="E4:F4"/>
    <mergeCell ref="E5:F5"/>
    <mergeCell ref="E6:F6"/>
    <mergeCell ref="E7:F7"/>
    <mergeCell ref="E15:F15"/>
    <mergeCell ref="E8:F8"/>
    <mergeCell ref="E9:F9"/>
    <mergeCell ref="E10:F10"/>
    <mergeCell ref="E11:F11"/>
    <mergeCell ref="E12:F12"/>
  </mergeCells>
  <phoneticPr fontId="0" type="noConversion"/>
  <conditionalFormatting sqref="B95">
    <cfRule type="cellIs" dxfId="18" priority="8" operator="greaterThan">
      <formula>60</formula>
    </cfRule>
  </conditionalFormatting>
  <conditionalFormatting sqref="B83">
    <cfRule type="cellIs" dxfId="17" priority="7" operator="greaterThan">
      <formula>60</formula>
    </cfRule>
  </conditionalFormatting>
  <conditionalFormatting sqref="B71">
    <cfRule type="cellIs" dxfId="16" priority="6" operator="greaterThan">
      <formula>60</formula>
    </cfRule>
  </conditionalFormatting>
  <conditionalFormatting sqref="B60">
    <cfRule type="cellIs" dxfId="15" priority="5" operator="greaterThan">
      <formula>60</formula>
    </cfRule>
  </conditionalFormatting>
  <conditionalFormatting sqref="B48">
    <cfRule type="cellIs" dxfId="14" priority="4" operator="greaterThan">
      <formula>60</formula>
    </cfRule>
  </conditionalFormatting>
  <conditionalFormatting sqref="B36">
    <cfRule type="cellIs" dxfId="13" priority="3" operator="greaterThan">
      <formula>60</formula>
    </cfRule>
  </conditionalFormatting>
  <conditionalFormatting sqref="B24">
    <cfRule type="cellIs" dxfId="12" priority="2"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5 B83 B71 B60 B48 B36 B24 B12">
      <formula1>0</formula1>
      <formula2>60</formula2>
    </dataValidation>
    <dataValidation type="whole" operator="greaterThan" allowBlank="1" showInputMessage="1" showErrorMessage="1" errorTitle="Durée par tranche de 10min" error="Le nombre doit être de type entier" sqref="B87:B94 B75:B82 B52:B59 B40:B47 B28:B35 B16:B23 B4:B11 B64:B70">
      <formula1>0</formula1>
    </dataValidation>
    <dataValidation type="list" allowBlank="1" showInputMessage="1" showErrorMessage="1" sqref="A87:A94 A75:A82 A52:A59 A40:A47 A28:A35 A16:A23 A4:A11 A64:A7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09"/>
  <sheetViews>
    <sheetView showGridLines="0" tabSelected="1" zoomScale="70" zoomScaleNormal="70" zoomScaleSheetLayoutView="98" workbookViewId="0">
      <pane ySplit="1" topLeftCell="A74" activePane="bottomLeft" state="frozen"/>
      <selection pane="bottomLeft" activeCell="D5" sqref="D5"/>
    </sheetView>
  </sheetViews>
  <sheetFormatPr baseColWidth="10" defaultColWidth="11.42578125" defaultRowHeight="14.25" x14ac:dyDescent="0.3"/>
  <cols>
    <col min="1" max="1" width="21.42578125" style="190" customWidth="1"/>
    <col min="2" max="2" width="8.42578125" style="190" customWidth="1"/>
    <col min="3" max="3" width="8.7109375" style="190" customWidth="1"/>
    <col min="4" max="4" width="91" style="190" customWidth="1"/>
    <col min="5" max="5" width="36.28515625" style="197" customWidth="1"/>
    <col min="6" max="6" width="20.7109375" style="61" customWidth="1"/>
    <col min="7" max="16384" width="11.42578125" style="61"/>
  </cols>
  <sheetData>
    <row r="1" spans="1:7" ht="49.9" customHeight="1" thickBot="1" x14ac:dyDescent="0.35"/>
    <row r="2" spans="1:7" s="47" customFormat="1" ht="30" customHeight="1" thickBot="1" x14ac:dyDescent="0.3">
      <c r="A2" s="155" t="s">
        <v>12</v>
      </c>
      <c r="B2" s="163">
        <v>9</v>
      </c>
      <c r="C2" s="163"/>
      <c r="D2" s="156" t="s">
        <v>15</v>
      </c>
      <c r="E2" s="157">
        <v>45366</v>
      </c>
      <c r="F2" s="158"/>
      <c r="G2" s="46"/>
    </row>
    <row r="3" spans="1:7" s="47" customFormat="1" ht="48.75" customHeight="1" thickBot="1" x14ac:dyDescent="0.3">
      <c r="A3" s="78" t="s">
        <v>5</v>
      </c>
      <c r="B3" s="160" t="s">
        <v>41</v>
      </c>
      <c r="C3" s="159"/>
      <c r="D3" s="78" t="s">
        <v>13</v>
      </c>
      <c r="E3" s="250" t="s">
        <v>14</v>
      </c>
      <c r="F3" s="251"/>
      <c r="G3" s="46"/>
    </row>
    <row r="4" spans="1:7" s="52" customFormat="1" ht="27" x14ac:dyDescent="0.3">
      <c r="A4" s="48" t="s">
        <v>17</v>
      </c>
      <c r="B4" s="49">
        <v>2</v>
      </c>
      <c r="C4" s="151" t="str">
        <f xml:space="preserve"> IF(B4="","",setValueToTime(B4))</f>
        <v>0h10min</v>
      </c>
      <c r="D4" s="164" t="s">
        <v>108</v>
      </c>
      <c r="E4" s="245"/>
      <c r="F4" s="246"/>
      <c r="G4" s="51"/>
    </row>
    <row r="5" spans="1:7" s="52" customFormat="1" x14ac:dyDescent="0.3">
      <c r="A5" s="53" t="s">
        <v>16</v>
      </c>
      <c r="B5" s="54">
        <v>30</v>
      </c>
      <c r="C5" s="152" t="str">
        <f t="shared" ref="C5:C11" si="0" xml:space="preserve"> IF(B5="","",setValueToTime(B5))</f>
        <v>2h30min</v>
      </c>
      <c r="D5" s="165" t="s">
        <v>107</v>
      </c>
      <c r="E5" s="239"/>
      <c r="F5" s="240"/>
      <c r="G5" s="51"/>
    </row>
    <row r="6" spans="1:7" s="52" customFormat="1" x14ac:dyDescent="0.3">
      <c r="A6" s="53"/>
      <c r="B6" s="54"/>
      <c r="C6" s="152" t="str">
        <f t="shared" si="0"/>
        <v/>
      </c>
      <c r="D6" s="55"/>
      <c r="E6" s="239"/>
      <c r="F6" s="240"/>
      <c r="G6" s="51"/>
    </row>
    <row r="7" spans="1:7" s="52" customFormat="1" x14ac:dyDescent="0.3">
      <c r="A7" s="53"/>
      <c r="B7" s="54"/>
      <c r="C7" s="152" t="str">
        <f t="shared" si="0"/>
        <v/>
      </c>
      <c r="D7" s="55"/>
      <c r="E7" s="239"/>
      <c r="F7" s="240"/>
      <c r="G7" s="51"/>
    </row>
    <row r="8" spans="1:7" s="52" customFormat="1" x14ac:dyDescent="0.3">
      <c r="A8" s="54"/>
      <c r="B8" s="54"/>
      <c r="C8" s="153" t="str">
        <f t="shared" si="0"/>
        <v/>
      </c>
      <c r="D8" s="55"/>
      <c r="E8" s="239"/>
      <c r="F8" s="240"/>
      <c r="G8" s="51"/>
    </row>
    <row r="9" spans="1:7" s="52" customFormat="1" x14ac:dyDescent="0.3">
      <c r="A9" s="54"/>
      <c r="B9" s="54"/>
      <c r="C9" s="153" t="str">
        <f t="shared" si="0"/>
        <v/>
      </c>
      <c r="D9" s="55"/>
      <c r="E9" s="239"/>
      <c r="F9" s="240"/>
      <c r="G9" s="51"/>
    </row>
    <row r="10" spans="1:7" s="52" customFormat="1" x14ac:dyDescent="0.3">
      <c r="A10" s="54"/>
      <c r="B10" s="54"/>
      <c r="C10" s="153" t="str">
        <f t="shared" si="0"/>
        <v/>
      </c>
      <c r="D10" s="55"/>
      <c r="E10" s="239"/>
      <c r="F10" s="240"/>
      <c r="G10" s="51"/>
    </row>
    <row r="11" spans="1:7" s="52" customFormat="1" ht="15" thickBot="1" x14ac:dyDescent="0.35">
      <c r="A11" s="56"/>
      <c r="B11" s="56"/>
      <c r="C11" s="154" t="str">
        <f t="shared" si="0"/>
        <v/>
      </c>
      <c r="D11" s="57"/>
      <c r="E11" s="241"/>
      <c r="F11" s="242"/>
      <c r="G11" s="51"/>
    </row>
    <row r="12" spans="1:7" s="52" customFormat="1" ht="15" thickBot="1" x14ac:dyDescent="0.35">
      <c r="A12" s="161" t="s">
        <v>29</v>
      </c>
      <c r="B12" s="83">
        <f>SUM(B4:B11)</f>
        <v>32</v>
      </c>
      <c r="C12" s="161" t="str">
        <f xml:space="preserve"> setValueToTime(B12)</f>
        <v>2h40min</v>
      </c>
      <c r="D12" s="120"/>
      <c r="E12" s="248"/>
      <c r="F12" s="249"/>
      <c r="G12" s="51"/>
    </row>
    <row r="13" spans="1:7" s="59" customFormat="1" ht="15" thickBot="1" x14ac:dyDescent="0.35">
      <c r="A13" s="77"/>
      <c r="B13" s="77"/>
      <c r="C13" s="77"/>
      <c r="D13" s="77"/>
      <c r="E13" s="77"/>
      <c r="F13" s="77"/>
      <c r="G13" s="58"/>
    </row>
    <row r="14" spans="1:7" s="47" customFormat="1" ht="30" customHeight="1" thickBot="1" x14ac:dyDescent="0.3">
      <c r="A14" s="155" t="s">
        <v>12</v>
      </c>
      <c r="B14" s="163">
        <v>8</v>
      </c>
      <c r="C14" s="163"/>
      <c r="D14" s="156" t="s">
        <v>15</v>
      </c>
      <c r="E14" s="157">
        <v>45365</v>
      </c>
      <c r="F14" s="158" t="s">
        <v>47</v>
      </c>
      <c r="G14" s="46"/>
    </row>
    <row r="15" spans="1:7" s="47" customFormat="1" ht="30" customHeight="1" thickBot="1" x14ac:dyDescent="0.3">
      <c r="A15" s="78" t="s">
        <v>5</v>
      </c>
      <c r="B15" s="160" t="s">
        <v>41</v>
      </c>
      <c r="C15" s="159"/>
      <c r="D15" s="78" t="s">
        <v>13</v>
      </c>
      <c r="E15" s="250" t="s">
        <v>14</v>
      </c>
      <c r="F15" s="251"/>
      <c r="G15" s="46"/>
    </row>
    <row r="16" spans="1:7" s="52" customFormat="1" ht="27" x14ac:dyDescent="0.3">
      <c r="A16" s="48" t="s">
        <v>4</v>
      </c>
      <c r="B16" s="49">
        <v>6</v>
      </c>
      <c r="C16" s="151" t="str">
        <f xml:space="preserve"> IF(B16="","",setValueToTime(B16))</f>
        <v>0h30min</v>
      </c>
      <c r="D16" s="164" t="s">
        <v>106</v>
      </c>
      <c r="E16" s="245"/>
      <c r="F16" s="246"/>
      <c r="G16" s="51"/>
    </row>
    <row r="17" spans="1:7" s="52" customFormat="1" ht="27" x14ac:dyDescent="0.3">
      <c r="A17" s="53" t="s">
        <v>53</v>
      </c>
      <c r="B17" s="54">
        <v>24</v>
      </c>
      <c r="C17" s="152" t="str">
        <f t="shared" ref="C17:C23" si="1" xml:space="preserve"> IF(B17="","",setValueToTime(B17))</f>
        <v>2h</v>
      </c>
      <c r="D17" s="165" t="s">
        <v>111</v>
      </c>
      <c r="E17" s="239"/>
      <c r="F17" s="240"/>
      <c r="G17" s="51"/>
    </row>
    <row r="18" spans="1:7" s="52" customFormat="1" ht="40.5" x14ac:dyDescent="0.3">
      <c r="A18" s="53" t="s">
        <v>51</v>
      </c>
      <c r="B18" s="54">
        <v>4</v>
      </c>
      <c r="C18" s="152" t="str">
        <f t="shared" si="1"/>
        <v>0h20min</v>
      </c>
      <c r="D18" s="165" t="s">
        <v>109</v>
      </c>
      <c r="E18" s="239"/>
      <c r="F18" s="240"/>
      <c r="G18" s="51"/>
    </row>
    <row r="19" spans="1:7" s="52" customFormat="1" x14ac:dyDescent="0.3">
      <c r="A19" s="53"/>
      <c r="B19" s="54"/>
      <c r="C19" s="152" t="str">
        <f t="shared" si="1"/>
        <v/>
      </c>
      <c r="D19" s="55"/>
      <c r="E19" s="239"/>
      <c r="F19" s="240"/>
      <c r="G19" s="51"/>
    </row>
    <row r="20" spans="1:7" s="52" customFormat="1" x14ac:dyDescent="0.3">
      <c r="A20" s="54"/>
      <c r="B20" s="54"/>
      <c r="C20" s="153" t="str">
        <f t="shared" si="1"/>
        <v/>
      </c>
      <c r="D20" s="55"/>
      <c r="E20" s="239"/>
      <c r="F20" s="240"/>
      <c r="G20" s="51"/>
    </row>
    <row r="21" spans="1:7" s="52" customFormat="1" x14ac:dyDescent="0.3">
      <c r="A21" s="54"/>
      <c r="B21" s="54"/>
      <c r="C21" s="153" t="str">
        <f t="shared" si="1"/>
        <v/>
      </c>
      <c r="D21" s="55"/>
      <c r="E21" s="239"/>
      <c r="F21" s="240"/>
      <c r="G21" s="51"/>
    </row>
    <row r="22" spans="1:7" s="52" customFormat="1" x14ac:dyDescent="0.3">
      <c r="A22" s="54"/>
      <c r="B22" s="54"/>
      <c r="C22" s="153" t="str">
        <f t="shared" si="1"/>
        <v/>
      </c>
      <c r="D22" s="55"/>
      <c r="E22" s="239"/>
      <c r="F22" s="240"/>
      <c r="G22" s="51"/>
    </row>
    <row r="23" spans="1:7" s="52" customFormat="1" ht="15" thickBot="1" x14ac:dyDescent="0.35">
      <c r="A23" s="56"/>
      <c r="B23" s="56"/>
      <c r="C23" s="154" t="str">
        <f t="shared" si="1"/>
        <v/>
      </c>
      <c r="D23" s="57"/>
      <c r="E23" s="241"/>
      <c r="F23" s="242"/>
      <c r="G23" s="51"/>
    </row>
    <row r="24" spans="1:7" s="52" customFormat="1" ht="15" thickBot="1" x14ac:dyDescent="0.35">
      <c r="A24" s="161" t="s">
        <v>29</v>
      </c>
      <c r="B24" s="83">
        <f>SUM(B16:B23)</f>
        <v>34</v>
      </c>
      <c r="C24" s="161" t="str">
        <f xml:space="preserve"> setValueToTime(B24)</f>
        <v>2h50min</v>
      </c>
      <c r="D24" s="120"/>
      <c r="E24" s="248"/>
      <c r="F24" s="249"/>
      <c r="G24" s="51"/>
    </row>
    <row r="25" spans="1:7" s="59" customFormat="1" ht="15" thickBot="1" x14ac:dyDescent="0.35">
      <c r="A25" s="77"/>
      <c r="B25" s="77"/>
      <c r="C25" s="77"/>
      <c r="D25" s="77"/>
      <c r="E25" s="77"/>
      <c r="F25" s="77"/>
      <c r="G25" s="58"/>
    </row>
    <row r="26" spans="1:7" s="47" customFormat="1" ht="30" customHeight="1" thickBot="1" x14ac:dyDescent="0.3">
      <c r="A26" s="155" t="s">
        <v>12</v>
      </c>
      <c r="B26" s="163">
        <v>7</v>
      </c>
      <c r="C26" s="163"/>
      <c r="D26" s="156" t="s">
        <v>15</v>
      </c>
      <c r="E26" s="157" t="s">
        <v>73</v>
      </c>
      <c r="F26" s="158" t="s">
        <v>47</v>
      </c>
      <c r="G26" s="46"/>
    </row>
    <row r="27" spans="1:7" s="47" customFormat="1" ht="30" customHeight="1" thickBot="1" x14ac:dyDescent="0.3">
      <c r="A27" s="78" t="s">
        <v>5</v>
      </c>
      <c r="B27" s="160" t="s">
        <v>41</v>
      </c>
      <c r="C27" s="159"/>
      <c r="D27" s="78" t="s">
        <v>13</v>
      </c>
      <c r="E27" s="250" t="s">
        <v>14</v>
      </c>
      <c r="F27" s="251"/>
      <c r="G27" s="46"/>
    </row>
    <row r="28" spans="1:7" s="52" customFormat="1" ht="40.5" x14ac:dyDescent="0.3">
      <c r="A28" s="48" t="s">
        <v>53</v>
      </c>
      <c r="B28" s="49">
        <v>14</v>
      </c>
      <c r="C28" s="151" t="str">
        <f xml:space="preserve"> IF(B28="","",setValueToTime(B28))</f>
        <v>1h10min</v>
      </c>
      <c r="D28" s="164" t="s">
        <v>110</v>
      </c>
      <c r="E28" s="252"/>
      <c r="F28" s="246"/>
      <c r="G28" s="51"/>
    </row>
    <row r="29" spans="1:7" s="52" customFormat="1" ht="27" x14ac:dyDescent="0.3">
      <c r="A29" s="53" t="s">
        <v>17</v>
      </c>
      <c r="B29" s="54">
        <v>2</v>
      </c>
      <c r="C29" s="152" t="str">
        <f t="shared" ref="C29:C35" si="2" xml:space="preserve"> IF(B29="","",setValueToTime(B29))</f>
        <v>0h10min</v>
      </c>
      <c r="D29" s="55"/>
      <c r="E29" s="239"/>
      <c r="F29" s="240"/>
      <c r="G29" s="51"/>
    </row>
    <row r="30" spans="1:7" s="52" customFormat="1" ht="27" x14ac:dyDescent="0.3">
      <c r="A30" s="53" t="s">
        <v>54</v>
      </c>
      <c r="B30" s="54">
        <v>2</v>
      </c>
      <c r="C30" s="152" t="str">
        <f t="shared" si="2"/>
        <v>0h10min</v>
      </c>
      <c r="D30" s="55"/>
      <c r="E30" s="253" t="s">
        <v>105</v>
      </c>
      <c r="F30" s="240"/>
      <c r="G30" s="51"/>
    </row>
    <row r="31" spans="1:7" s="52" customFormat="1" x14ac:dyDescent="0.3">
      <c r="A31" s="53"/>
      <c r="B31" s="54"/>
      <c r="C31" s="152" t="str">
        <f t="shared" si="2"/>
        <v/>
      </c>
      <c r="D31" s="55"/>
      <c r="E31" s="239"/>
      <c r="F31" s="240"/>
      <c r="G31" s="51"/>
    </row>
    <row r="32" spans="1:7" s="52" customFormat="1" x14ac:dyDescent="0.3">
      <c r="A32" s="54"/>
      <c r="B32" s="54"/>
      <c r="C32" s="153" t="str">
        <f t="shared" si="2"/>
        <v/>
      </c>
      <c r="D32" s="55"/>
      <c r="E32" s="239"/>
      <c r="F32" s="240"/>
      <c r="G32" s="51"/>
    </row>
    <row r="33" spans="1:7" s="52" customFormat="1" x14ac:dyDescent="0.3">
      <c r="A33" s="54"/>
      <c r="B33" s="54"/>
      <c r="C33" s="153" t="str">
        <f t="shared" si="2"/>
        <v/>
      </c>
      <c r="D33" s="55"/>
      <c r="E33" s="239"/>
      <c r="F33" s="240"/>
      <c r="G33" s="51"/>
    </row>
    <row r="34" spans="1:7" s="52" customFormat="1" x14ac:dyDescent="0.3">
      <c r="A34" s="54"/>
      <c r="B34" s="54"/>
      <c r="C34" s="153" t="str">
        <f t="shared" si="2"/>
        <v/>
      </c>
      <c r="D34" s="55"/>
      <c r="E34" s="239"/>
      <c r="F34" s="240"/>
      <c r="G34" s="51"/>
    </row>
    <row r="35" spans="1:7" s="52" customFormat="1" ht="15" thickBot="1" x14ac:dyDescent="0.35">
      <c r="A35" s="56"/>
      <c r="B35" s="56"/>
      <c r="C35" s="154" t="str">
        <f t="shared" si="2"/>
        <v/>
      </c>
      <c r="D35" s="57"/>
      <c r="E35" s="241"/>
      <c r="F35" s="242"/>
      <c r="G35" s="51"/>
    </row>
    <row r="36" spans="1:7" s="52" customFormat="1" ht="15" thickBot="1" x14ac:dyDescent="0.35">
      <c r="A36" s="161" t="s">
        <v>29</v>
      </c>
      <c r="B36" s="83">
        <f>SUM(B28:B35)</f>
        <v>18</v>
      </c>
      <c r="C36" s="161" t="str">
        <f xml:space="preserve"> setValueToTime(B36)</f>
        <v>1h30min</v>
      </c>
      <c r="D36" s="120"/>
      <c r="E36" s="248"/>
      <c r="F36" s="249"/>
      <c r="G36" s="51"/>
    </row>
    <row r="37" spans="1:7" s="59" customFormat="1" ht="15" thickBot="1" x14ac:dyDescent="0.35">
      <c r="A37" s="77"/>
      <c r="B37" s="77"/>
      <c r="C37" s="77"/>
      <c r="D37" s="77"/>
      <c r="E37" s="77"/>
      <c r="F37" s="77"/>
      <c r="G37" s="58"/>
    </row>
    <row r="38" spans="1:7" s="47" customFormat="1" ht="30" customHeight="1" thickBot="1" x14ac:dyDescent="0.3">
      <c r="A38" s="155" t="s">
        <v>12</v>
      </c>
      <c r="B38" s="163">
        <v>6</v>
      </c>
      <c r="C38" s="163"/>
      <c r="D38" s="156" t="s">
        <v>15</v>
      </c>
      <c r="E38" s="157" t="s">
        <v>75</v>
      </c>
      <c r="F38" s="158" t="s">
        <v>47</v>
      </c>
      <c r="G38" s="46"/>
    </row>
    <row r="39" spans="1:7" s="47" customFormat="1" ht="30" customHeight="1" thickBot="1" x14ac:dyDescent="0.3">
      <c r="A39" s="78" t="s">
        <v>5</v>
      </c>
      <c r="B39" s="160" t="s">
        <v>41</v>
      </c>
      <c r="C39" s="159"/>
      <c r="D39" s="78" t="s">
        <v>13</v>
      </c>
      <c r="E39" s="250" t="s">
        <v>14</v>
      </c>
      <c r="F39" s="251"/>
      <c r="G39" s="46"/>
    </row>
    <row r="40" spans="1:7" s="52" customFormat="1" ht="27" x14ac:dyDescent="0.3">
      <c r="A40" s="202" t="s">
        <v>17</v>
      </c>
      <c r="B40" s="54">
        <v>4</v>
      </c>
      <c r="C40" s="151" t="str">
        <f xml:space="preserve"> IF(B40="","",setValueToTime(B40))</f>
        <v>0h20min</v>
      </c>
      <c r="D40" s="192" t="s">
        <v>83</v>
      </c>
      <c r="E40" s="245"/>
      <c r="F40" s="246"/>
      <c r="G40" s="51"/>
    </row>
    <row r="41" spans="1:7" s="52" customFormat="1" x14ac:dyDescent="0.3">
      <c r="A41" s="53" t="s">
        <v>4</v>
      </c>
      <c r="B41" s="54">
        <v>7</v>
      </c>
      <c r="C41" s="152" t="str">
        <f t="shared" ref="C41:C47" si="3" xml:space="preserve"> IF(B41="","",setValueToTime(B41))</f>
        <v>0h35min</v>
      </c>
      <c r="D41" s="165" t="s">
        <v>102</v>
      </c>
      <c r="E41" s="239"/>
      <c r="F41" s="240"/>
      <c r="G41" s="51"/>
    </row>
    <row r="42" spans="1:7" s="52" customFormat="1" x14ac:dyDescent="0.3">
      <c r="A42" s="53" t="s">
        <v>53</v>
      </c>
      <c r="B42" s="54">
        <v>3</v>
      </c>
      <c r="C42" s="152" t="str">
        <f t="shared" si="3"/>
        <v>0h15min</v>
      </c>
      <c r="D42" s="165" t="s">
        <v>103</v>
      </c>
      <c r="E42" s="239"/>
      <c r="F42" s="240"/>
      <c r="G42" s="51"/>
    </row>
    <row r="43" spans="1:7" s="52" customFormat="1" ht="27" x14ac:dyDescent="0.3">
      <c r="A43" s="53" t="s">
        <v>54</v>
      </c>
      <c r="B43" s="54">
        <v>4</v>
      </c>
      <c r="C43" s="152" t="str">
        <f t="shared" si="3"/>
        <v>0h20min</v>
      </c>
      <c r="D43" s="165" t="s">
        <v>104</v>
      </c>
      <c r="E43" s="239"/>
      <c r="F43" s="240"/>
      <c r="G43" s="51"/>
    </row>
    <row r="44" spans="1:7" s="52" customFormat="1" x14ac:dyDescent="0.3">
      <c r="A44" s="54"/>
      <c r="B44" s="54"/>
      <c r="C44" s="153" t="str">
        <f t="shared" si="3"/>
        <v/>
      </c>
      <c r="D44" s="55"/>
      <c r="E44" s="239"/>
      <c r="F44" s="240"/>
      <c r="G44" s="51"/>
    </row>
    <row r="45" spans="1:7" s="52" customFormat="1" x14ac:dyDescent="0.3">
      <c r="A45" s="54"/>
      <c r="B45" s="54"/>
      <c r="C45" s="153" t="str">
        <f t="shared" si="3"/>
        <v/>
      </c>
      <c r="D45" s="55"/>
      <c r="E45" s="239"/>
      <c r="F45" s="240"/>
      <c r="G45" s="51"/>
    </row>
    <row r="46" spans="1:7" s="52" customFormat="1" x14ac:dyDescent="0.3">
      <c r="A46" s="54"/>
      <c r="B46" s="54"/>
      <c r="C46" s="153" t="str">
        <f t="shared" si="3"/>
        <v/>
      </c>
      <c r="D46" s="55"/>
      <c r="E46" s="239"/>
      <c r="F46" s="240"/>
      <c r="G46" s="51"/>
    </row>
    <row r="47" spans="1:7" s="52" customFormat="1" ht="15" thickBot="1" x14ac:dyDescent="0.35">
      <c r="A47" s="56"/>
      <c r="B47" s="56"/>
      <c r="C47" s="154" t="str">
        <f t="shared" si="3"/>
        <v/>
      </c>
      <c r="D47" s="57"/>
      <c r="E47" s="241"/>
      <c r="F47" s="242"/>
      <c r="G47" s="51"/>
    </row>
    <row r="48" spans="1:7" s="52" customFormat="1" ht="15" thickBot="1" x14ac:dyDescent="0.35">
      <c r="A48" s="161" t="s">
        <v>29</v>
      </c>
      <c r="B48" s="83">
        <f>SUM(B40:B47)</f>
        <v>18</v>
      </c>
      <c r="C48" s="161" t="str">
        <f xml:space="preserve"> setValueToTime(B48)</f>
        <v>1h30min</v>
      </c>
      <c r="D48" s="120"/>
      <c r="E48" s="248"/>
      <c r="F48" s="249"/>
      <c r="G48" s="51"/>
    </row>
    <row r="49" spans="1:7" s="59" customFormat="1" ht="15" thickBot="1" x14ac:dyDescent="0.35">
      <c r="A49" s="77"/>
      <c r="B49" s="77"/>
      <c r="C49" s="77"/>
      <c r="D49" s="77"/>
      <c r="E49" s="77"/>
      <c r="F49" s="77"/>
      <c r="G49" s="58"/>
    </row>
    <row r="50" spans="1:7" s="47" customFormat="1" ht="30" customHeight="1" thickBot="1" x14ac:dyDescent="0.3">
      <c r="A50" s="155" t="s">
        <v>12</v>
      </c>
      <c r="B50" s="163">
        <v>5</v>
      </c>
      <c r="C50" s="163"/>
      <c r="D50" s="156" t="s">
        <v>15</v>
      </c>
      <c r="E50" s="157" t="s">
        <v>77</v>
      </c>
      <c r="F50" s="158" t="s">
        <v>47</v>
      </c>
      <c r="G50" s="46"/>
    </row>
    <row r="51" spans="1:7" s="47" customFormat="1" ht="30" customHeight="1" thickBot="1" x14ac:dyDescent="0.3">
      <c r="A51" s="78" t="s">
        <v>5</v>
      </c>
      <c r="B51" s="160" t="s">
        <v>41</v>
      </c>
      <c r="C51" s="159"/>
      <c r="D51" s="78" t="s">
        <v>13</v>
      </c>
      <c r="E51" s="250" t="s">
        <v>14</v>
      </c>
      <c r="F51" s="251"/>
      <c r="G51" s="46"/>
    </row>
    <row r="52" spans="1:7" s="52" customFormat="1" ht="27" x14ac:dyDescent="0.3">
      <c r="A52" s="202" t="s">
        <v>17</v>
      </c>
      <c r="B52" s="54">
        <v>4</v>
      </c>
      <c r="C52" s="151" t="str">
        <f xml:space="preserve"> IF(B52="","",setValueToTime(B52))</f>
        <v>0h20min</v>
      </c>
      <c r="D52" s="192" t="s">
        <v>83</v>
      </c>
      <c r="E52" s="245"/>
      <c r="F52" s="246"/>
      <c r="G52" s="51"/>
    </row>
    <row r="53" spans="1:7" s="52" customFormat="1" ht="166.5" customHeight="1" x14ac:dyDescent="0.3">
      <c r="A53" s="53" t="s">
        <v>54</v>
      </c>
      <c r="B53" s="54">
        <v>6</v>
      </c>
      <c r="C53" s="152" t="str">
        <f t="shared" ref="C53:C59" si="4" xml:space="preserve"> IF(B53="","",setValueToTime(B53))</f>
        <v>0h30min</v>
      </c>
      <c r="D53" s="192" t="s">
        <v>100</v>
      </c>
      <c r="E53" s="247" t="s">
        <v>99</v>
      </c>
      <c r="F53" s="240"/>
      <c r="G53" s="51"/>
    </row>
    <row r="54" spans="1:7" s="52" customFormat="1" ht="27" x14ac:dyDescent="0.3">
      <c r="A54" s="53" t="s">
        <v>53</v>
      </c>
      <c r="B54" s="54">
        <v>8</v>
      </c>
      <c r="C54" s="152" t="str">
        <f t="shared" si="4"/>
        <v>0h40min</v>
      </c>
      <c r="D54" s="165" t="s">
        <v>101</v>
      </c>
      <c r="E54" s="254" t="s">
        <v>98</v>
      </c>
      <c r="F54" s="240"/>
      <c r="G54" s="51"/>
    </row>
    <row r="55" spans="1:7" s="52" customFormat="1" x14ac:dyDescent="0.3">
      <c r="A55" s="53"/>
      <c r="B55" s="54"/>
      <c r="C55" s="152" t="str">
        <f t="shared" si="4"/>
        <v/>
      </c>
      <c r="D55" s="55"/>
      <c r="E55" s="239"/>
      <c r="F55" s="240"/>
      <c r="G55" s="51"/>
    </row>
    <row r="56" spans="1:7" s="52" customFormat="1" x14ac:dyDescent="0.3">
      <c r="A56" s="54"/>
      <c r="B56" s="54"/>
      <c r="C56" s="153" t="str">
        <f t="shared" si="4"/>
        <v/>
      </c>
      <c r="D56" s="55"/>
      <c r="E56" s="239"/>
      <c r="F56" s="240"/>
      <c r="G56" s="51"/>
    </row>
    <row r="57" spans="1:7" s="52" customFormat="1" x14ac:dyDescent="0.3">
      <c r="A57" s="54"/>
      <c r="B57" s="54"/>
      <c r="C57" s="153" t="str">
        <f t="shared" si="4"/>
        <v/>
      </c>
      <c r="D57" s="55"/>
      <c r="E57" s="239"/>
      <c r="F57" s="240"/>
      <c r="G57" s="51"/>
    </row>
    <row r="58" spans="1:7" s="52" customFormat="1" x14ac:dyDescent="0.3">
      <c r="A58" s="54"/>
      <c r="B58" s="54"/>
      <c r="C58" s="153" t="str">
        <f t="shared" si="4"/>
        <v/>
      </c>
      <c r="D58" s="55"/>
      <c r="E58" s="239"/>
      <c r="F58" s="240"/>
      <c r="G58" s="51"/>
    </row>
    <row r="59" spans="1:7" s="52" customFormat="1" ht="15" thickBot="1" x14ac:dyDescent="0.35">
      <c r="A59" s="56"/>
      <c r="B59" s="56"/>
      <c r="C59" s="154" t="str">
        <f t="shared" si="4"/>
        <v/>
      </c>
      <c r="D59" s="57"/>
      <c r="E59" s="241"/>
      <c r="F59" s="242"/>
      <c r="G59" s="51"/>
    </row>
    <row r="60" spans="1:7" s="52" customFormat="1" ht="15" thickBot="1" x14ac:dyDescent="0.35">
      <c r="A60" s="161" t="s">
        <v>29</v>
      </c>
      <c r="B60" s="83">
        <f>SUM(B52:B59)</f>
        <v>18</v>
      </c>
      <c r="C60" s="161" t="str">
        <f xml:space="preserve"> setValueToTime(B60)</f>
        <v>1h30min</v>
      </c>
      <c r="D60" s="120"/>
      <c r="E60" s="248"/>
      <c r="F60" s="249"/>
      <c r="G60" s="51"/>
    </row>
    <row r="61" spans="1:7" s="59" customFormat="1" ht="15" thickBot="1" x14ac:dyDescent="0.35">
      <c r="A61" s="77"/>
      <c r="B61" s="77"/>
      <c r="C61" s="77"/>
      <c r="D61" s="77"/>
      <c r="E61" s="77"/>
      <c r="F61" s="77"/>
      <c r="G61" s="58"/>
    </row>
    <row r="62" spans="1:7" s="47" customFormat="1" ht="30" customHeight="1" thickBot="1" x14ac:dyDescent="0.3">
      <c r="A62" s="155" t="s">
        <v>12</v>
      </c>
      <c r="B62" s="163">
        <v>4</v>
      </c>
      <c r="C62" s="163"/>
      <c r="D62" s="156" t="s">
        <v>15</v>
      </c>
      <c r="E62" s="157" t="s">
        <v>79</v>
      </c>
      <c r="F62" s="158" t="s">
        <v>47</v>
      </c>
      <c r="G62" s="46"/>
    </row>
    <row r="63" spans="1:7" s="47" customFormat="1" ht="30" customHeight="1" thickBot="1" x14ac:dyDescent="0.3">
      <c r="A63" s="78" t="s">
        <v>5</v>
      </c>
      <c r="B63" s="160" t="s">
        <v>41</v>
      </c>
      <c r="C63" s="159"/>
      <c r="D63" s="78" t="s">
        <v>13</v>
      </c>
      <c r="E63" s="250" t="s">
        <v>14</v>
      </c>
      <c r="F63" s="251"/>
      <c r="G63" s="46"/>
    </row>
    <row r="64" spans="1:7" s="52" customFormat="1" ht="54" customHeight="1" x14ac:dyDescent="0.3">
      <c r="A64" s="48" t="s">
        <v>54</v>
      </c>
      <c r="B64" s="49">
        <v>7</v>
      </c>
      <c r="C64" s="151" t="str">
        <f xml:space="preserve"> IF(B64="","",setValueToTime(B64))</f>
        <v>0h35min</v>
      </c>
      <c r="D64" s="191" t="s">
        <v>96</v>
      </c>
      <c r="E64" s="255" t="s">
        <v>94</v>
      </c>
      <c r="F64" s="246"/>
      <c r="G64" s="51"/>
    </row>
    <row r="65" spans="1:7" s="52" customFormat="1" ht="40.5" x14ac:dyDescent="0.3">
      <c r="A65" s="198" t="s">
        <v>51</v>
      </c>
      <c r="B65" s="199">
        <v>3</v>
      </c>
      <c r="C65" s="200" t="str">
        <f t="shared" ref="C65:C71" si="5" xml:space="preserve"> IF(B65="","",setValueToTime(B65))</f>
        <v>0h15min</v>
      </c>
      <c r="D65" s="201" t="s">
        <v>95</v>
      </c>
      <c r="E65" s="254" t="s">
        <v>98</v>
      </c>
      <c r="F65" s="240"/>
      <c r="G65" s="51"/>
    </row>
    <row r="66" spans="1:7" s="52" customFormat="1" ht="27" x14ac:dyDescent="0.3">
      <c r="A66" s="53" t="s">
        <v>17</v>
      </c>
      <c r="B66" s="54">
        <v>2</v>
      </c>
      <c r="C66" s="152" t="str">
        <f xml:space="preserve"> IF(B66="","",setValueToTime(B66))</f>
        <v>0h10min</v>
      </c>
      <c r="D66" s="192" t="s">
        <v>83</v>
      </c>
      <c r="E66" s="239"/>
      <c r="F66" s="240"/>
      <c r="G66" s="51"/>
    </row>
    <row r="67" spans="1:7" s="52" customFormat="1" ht="27" x14ac:dyDescent="0.3">
      <c r="A67" s="53" t="s">
        <v>53</v>
      </c>
      <c r="B67" s="54">
        <v>6</v>
      </c>
      <c r="C67" s="152" t="str">
        <f t="shared" si="5"/>
        <v>0h30min</v>
      </c>
      <c r="D67" s="192" t="s">
        <v>97</v>
      </c>
      <c r="E67" s="239"/>
      <c r="F67" s="240"/>
      <c r="G67" s="51"/>
    </row>
    <row r="68" spans="1:7" s="52" customFormat="1" x14ac:dyDescent="0.3">
      <c r="A68" s="54"/>
      <c r="B68" s="54"/>
      <c r="C68" s="153" t="str">
        <f t="shared" si="5"/>
        <v/>
      </c>
      <c r="D68" s="193"/>
      <c r="E68" s="239"/>
      <c r="F68" s="240"/>
      <c r="G68" s="51"/>
    </row>
    <row r="69" spans="1:7" s="52" customFormat="1" x14ac:dyDescent="0.3">
      <c r="A69" s="54"/>
      <c r="B69" s="54"/>
      <c r="C69" s="153" t="str">
        <f t="shared" si="5"/>
        <v/>
      </c>
      <c r="D69" s="193"/>
      <c r="E69" s="239"/>
      <c r="F69" s="240"/>
      <c r="G69" s="51"/>
    </row>
    <row r="70" spans="1:7" s="52" customFormat="1" x14ac:dyDescent="0.3">
      <c r="A70" s="54"/>
      <c r="B70" s="54"/>
      <c r="C70" s="153" t="str">
        <f t="shared" si="5"/>
        <v/>
      </c>
      <c r="D70" s="193"/>
      <c r="E70" s="239"/>
      <c r="F70" s="240"/>
      <c r="G70" s="51"/>
    </row>
    <row r="71" spans="1:7" s="52" customFormat="1" ht="15" thickBot="1" x14ac:dyDescent="0.35">
      <c r="A71" s="56"/>
      <c r="B71" s="56"/>
      <c r="C71" s="154" t="str">
        <f t="shared" si="5"/>
        <v/>
      </c>
      <c r="D71" s="194"/>
      <c r="E71" s="241"/>
      <c r="F71" s="242"/>
      <c r="G71" s="51"/>
    </row>
    <row r="72" spans="1:7" s="52" customFormat="1" ht="15" thickBot="1" x14ac:dyDescent="0.35">
      <c r="A72" s="161" t="s">
        <v>29</v>
      </c>
      <c r="B72" s="83">
        <f>SUM(B64:B71)</f>
        <v>18</v>
      </c>
      <c r="C72" s="161" t="str">
        <f xml:space="preserve"> setValueToTime(B72)</f>
        <v>1h30min</v>
      </c>
      <c r="D72" s="195"/>
      <c r="E72" s="248"/>
      <c r="F72" s="249"/>
      <c r="G72" s="51"/>
    </row>
    <row r="73" spans="1:7" s="59" customFormat="1" ht="15" thickBot="1" x14ac:dyDescent="0.35">
      <c r="A73" s="77"/>
      <c r="B73" s="77"/>
      <c r="C73" s="77"/>
      <c r="D73" s="196"/>
      <c r="E73" s="77"/>
      <c r="F73" s="77"/>
      <c r="G73" s="58"/>
    </row>
    <row r="74" spans="1:7" s="47" customFormat="1" ht="30" customHeight="1" thickBot="1" x14ac:dyDescent="0.3">
      <c r="A74" s="155" t="s">
        <v>12</v>
      </c>
      <c r="B74" s="163">
        <v>3</v>
      </c>
      <c r="C74" s="163"/>
      <c r="D74" s="156" t="s">
        <v>15</v>
      </c>
      <c r="E74" s="157" t="s">
        <v>80</v>
      </c>
      <c r="F74" s="158" t="s">
        <v>47</v>
      </c>
      <c r="G74" s="46"/>
    </row>
    <row r="75" spans="1:7" s="47" customFormat="1" ht="30" customHeight="1" thickBot="1" x14ac:dyDescent="0.3">
      <c r="A75" s="78" t="s">
        <v>5</v>
      </c>
      <c r="B75" s="160" t="s">
        <v>41</v>
      </c>
      <c r="C75" s="159"/>
      <c r="D75" s="78" t="s">
        <v>13</v>
      </c>
      <c r="E75" s="250" t="s">
        <v>14</v>
      </c>
      <c r="F75" s="251"/>
      <c r="G75" s="46"/>
    </row>
    <row r="76" spans="1:7" s="52" customFormat="1" ht="27" x14ac:dyDescent="0.3">
      <c r="A76" s="48" t="s">
        <v>17</v>
      </c>
      <c r="B76" s="49">
        <v>2</v>
      </c>
      <c r="C76" s="151" t="str">
        <f xml:space="preserve"> IF(B76="","",setValueToTime(B76))</f>
        <v>0h10min</v>
      </c>
      <c r="D76" s="191" t="s">
        <v>83</v>
      </c>
      <c r="E76" s="245"/>
      <c r="F76" s="246"/>
      <c r="G76" s="51"/>
    </row>
    <row r="77" spans="1:7" s="52" customFormat="1" ht="27" x14ac:dyDescent="0.3">
      <c r="A77" s="53" t="s">
        <v>32</v>
      </c>
      <c r="B77" s="54">
        <v>4</v>
      </c>
      <c r="C77" s="152" t="str">
        <f t="shared" ref="C77:C83" si="6" xml:space="preserve"> IF(B77="","",setValueToTime(B77))</f>
        <v>0h20min</v>
      </c>
      <c r="D77" s="192" t="s">
        <v>81</v>
      </c>
      <c r="E77" s="239"/>
      <c r="F77" s="240"/>
      <c r="G77" s="51"/>
    </row>
    <row r="78" spans="1:7" s="52" customFormat="1" ht="27" x14ac:dyDescent="0.3">
      <c r="A78" s="53" t="s">
        <v>50</v>
      </c>
      <c r="B78" s="54">
        <v>3</v>
      </c>
      <c r="C78" s="152" t="str">
        <f t="shared" si="6"/>
        <v>0h15min</v>
      </c>
      <c r="D78" s="192" t="s">
        <v>87</v>
      </c>
      <c r="E78" s="239"/>
      <c r="F78" s="240"/>
      <c r="G78" s="51"/>
    </row>
    <row r="79" spans="1:7" s="52" customFormat="1" x14ac:dyDescent="0.3">
      <c r="A79" s="53" t="s">
        <v>52</v>
      </c>
      <c r="B79" s="54">
        <v>1</v>
      </c>
      <c r="C79" s="152" t="str">
        <f t="shared" si="6"/>
        <v>0h5min</v>
      </c>
      <c r="D79" s="192" t="s">
        <v>93</v>
      </c>
      <c r="E79" s="239"/>
      <c r="F79" s="240"/>
      <c r="G79" s="51"/>
    </row>
    <row r="80" spans="1:7" s="52" customFormat="1" ht="27" x14ac:dyDescent="0.3">
      <c r="A80" s="54" t="s">
        <v>54</v>
      </c>
      <c r="B80" s="54">
        <v>8</v>
      </c>
      <c r="C80" s="153" t="str">
        <f t="shared" si="6"/>
        <v>0h40min</v>
      </c>
      <c r="D80" s="192" t="s">
        <v>91</v>
      </c>
      <c r="E80" s="254" t="s">
        <v>92</v>
      </c>
      <c r="F80" s="240"/>
      <c r="G80" s="51"/>
    </row>
    <row r="81" spans="1:7" s="52" customFormat="1" x14ac:dyDescent="0.3">
      <c r="A81" s="54"/>
      <c r="B81" s="54"/>
      <c r="C81" s="153" t="str">
        <f t="shared" si="6"/>
        <v/>
      </c>
      <c r="D81" s="193"/>
      <c r="E81" s="239"/>
      <c r="F81" s="240"/>
      <c r="G81" s="51"/>
    </row>
    <row r="82" spans="1:7" s="52" customFormat="1" x14ac:dyDescent="0.3">
      <c r="A82" s="54"/>
      <c r="B82" s="54"/>
      <c r="C82" s="153" t="str">
        <f t="shared" si="6"/>
        <v/>
      </c>
      <c r="D82" s="193"/>
      <c r="E82" s="239"/>
      <c r="F82" s="240"/>
      <c r="G82" s="51"/>
    </row>
    <row r="83" spans="1:7" s="52" customFormat="1" ht="15" thickBot="1" x14ac:dyDescent="0.35">
      <c r="A83" s="56"/>
      <c r="B83" s="56"/>
      <c r="C83" s="154" t="str">
        <f t="shared" si="6"/>
        <v/>
      </c>
      <c r="D83" s="194"/>
      <c r="E83" s="241"/>
      <c r="F83" s="242"/>
      <c r="G83" s="51"/>
    </row>
    <row r="84" spans="1:7" s="52" customFormat="1" ht="15" thickBot="1" x14ac:dyDescent="0.35">
      <c r="A84" s="161" t="s">
        <v>29</v>
      </c>
      <c r="B84" s="83">
        <f>SUM(B76:B83)</f>
        <v>18</v>
      </c>
      <c r="C84" s="161" t="str">
        <f xml:space="preserve"> setValueToTime(B84)</f>
        <v>1h30min</v>
      </c>
      <c r="D84" s="195"/>
      <c r="E84" s="248"/>
      <c r="F84" s="249"/>
      <c r="G84" s="51"/>
    </row>
    <row r="85" spans="1:7" s="59" customFormat="1" ht="15" thickBot="1" x14ac:dyDescent="0.35">
      <c r="A85" s="196"/>
      <c r="B85" s="196"/>
      <c r="C85" s="196"/>
      <c r="D85" s="196"/>
      <c r="E85" s="196"/>
      <c r="F85" s="77"/>
      <c r="G85" s="58"/>
    </row>
    <row r="86" spans="1:7" s="47" customFormat="1" ht="30" customHeight="1" thickBot="1" x14ac:dyDescent="0.3">
      <c r="A86" s="155" t="s">
        <v>12</v>
      </c>
      <c r="B86" s="163">
        <v>2</v>
      </c>
      <c r="C86" s="163"/>
      <c r="D86" s="156" t="s">
        <v>15</v>
      </c>
      <c r="E86" s="157" t="s">
        <v>48</v>
      </c>
      <c r="F86" s="158" t="s">
        <v>47</v>
      </c>
      <c r="G86" s="46"/>
    </row>
    <row r="87" spans="1:7" s="47" customFormat="1" ht="30" customHeight="1" thickBot="1" x14ac:dyDescent="0.3">
      <c r="A87" s="78" t="s">
        <v>5</v>
      </c>
      <c r="B87" s="160" t="s">
        <v>41</v>
      </c>
      <c r="C87" s="159"/>
      <c r="D87" s="78" t="s">
        <v>13</v>
      </c>
      <c r="E87" s="250" t="s">
        <v>14</v>
      </c>
      <c r="F87" s="251"/>
      <c r="G87" s="46"/>
    </row>
    <row r="88" spans="1:7" s="52" customFormat="1" ht="27" x14ac:dyDescent="0.3">
      <c r="A88" s="48" t="s">
        <v>17</v>
      </c>
      <c r="B88" s="49">
        <v>2</v>
      </c>
      <c r="C88" s="151" t="str">
        <f xml:space="preserve"> IF(B88="","",setValueToTime(B88))</f>
        <v>0h10min</v>
      </c>
      <c r="D88" s="191" t="s">
        <v>83</v>
      </c>
      <c r="E88" s="245"/>
      <c r="F88" s="246"/>
      <c r="G88" s="51"/>
    </row>
    <row r="89" spans="1:7" s="52" customFormat="1" ht="60" customHeight="1" x14ac:dyDescent="0.3">
      <c r="A89" s="53" t="s">
        <v>51</v>
      </c>
      <c r="B89" s="54">
        <v>4</v>
      </c>
      <c r="C89" s="152" t="str">
        <f t="shared" ref="C89:C95" si="7" xml:space="preserve"> IF(B89="","",setValueToTime(B89))</f>
        <v>0h20min</v>
      </c>
      <c r="D89" s="192" t="s">
        <v>89</v>
      </c>
      <c r="E89" s="247" t="s">
        <v>90</v>
      </c>
      <c r="F89" s="240"/>
      <c r="G89" s="51"/>
    </row>
    <row r="90" spans="1:7" s="52" customFormat="1" ht="27" x14ac:dyDescent="0.3">
      <c r="A90" s="53" t="s">
        <v>50</v>
      </c>
      <c r="B90" s="54">
        <v>4</v>
      </c>
      <c r="C90" s="152" t="str">
        <f t="shared" si="7"/>
        <v>0h20min</v>
      </c>
      <c r="D90" s="192" t="s">
        <v>82</v>
      </c>
      <c r="E90" s="239"/>
      <c r="F90" s="240"/>
      <c r="G90" s="51"/>
    </row>
    <row r="91" spans="1:7" s="52" customFormat="1" ht="27" x14ac:dyDescent="0.3">
      <c r="A91" s="53" t="s">
        <v>32</v>
      </c>
      <c r="B91" s="54">
        <v>8</v>
      </c>
      <c r="C91" s="152" t="str">
        <f t="shared" si="7"/>
        <v>0h40min</v>
      </c>
      <c r="D91" s="192" t="s">
        <v>81</v>
      </c>
      <c r="E91" s="239"/>
      <c r="F91" s="240"/>
      <c r="G91" s="51"/>
    </row>
    <row r="92" spans="1:7" s="52" customFormat="1" x14ac:dyDescent="0.3">
      <c r="A92" s="54"/>
      <c r="B92" s="54"/>
      <c r="C92" s="153" t="str">
        <f t="shared" si="7"/>
        <v/>
      </c>
      <c r="D92" s="193"/>
      <c r="E92" s="239"/>
      <c r="F92" s="240"/>
      <c r="G92" s="51"/>
    </row>
    <row r="93" spans="1:7" s="52" customFormat="1" x14ac:dyDescent="0.3">
      <c r="A93" s="54"/>
      <c r="B93" s="54"/>
      <c r="C93" s="153" t="str">
        <f t="shared" si="7"/>
        <v/>
      </c>
      <c r="D93" s="193"/>
      <c r="E93" s="239"/>
      <c r="F93" s="240"/>
      <c r="G93" s="51"/>
    </row>
    <row r="94" spans="1:7" s="52" customFormat="1" x14ac:dyDescent="0.3">
      <c r="A94" s="54"/>
      <c r="B94" s="54"/>
      <c r="C94" s="153" t="str">
        <f t="shared" si="7"/>
        <v/>
      </c>
      <c r="D94" s="193"/>
      <c r="E94" s="239"/>
      <c r="F94" s="240"/>
      <c r="G94" s="51"/>
    </row>
    <row r="95" spans="1:7" s="52" customFormat="1" ht="15" thickBot="1" x14ac:dyDescent="0.35">
      <c r="A95" s="56"/>
      <c r="B95" s="56"/>
      <c r="C95" s="154" t="str">
        <f t="shared" si="7"/>
        <v/>
      </c>
      <c r="D95" s="194"/>
      <c r="E95" s="241"/>
      <c r="F95" s="242"/>
      <c r="G95" s="51"/>
    </row>
    <row r="96" spans="1:7" s="52" customFormat="1" ht="15" thickBot="1" x14ac:dyDescent="0.35">
      <c r="A96" s="161" t="s">
        <v>29</v>
      </c>
      <c r="B96" s="83">
        <f>SUM(B88:B95)</f>
        <v>18</v>
      </c>
      <c r="C96" s="161" t="str">
        <f xml:space="preserve"> setValueToTime(B96)</f>
        <v>1h30min</v>
      </c>
      <c r="D96" s="195"/>
      <c r="E96" s="248"/>
      <c r="F96" s="249"/>
      <c r="G96" s="51"/>
    </row>
    <row r="97" spans="1:7" s="59" customFormat="1" ht="15" thickBot="1" x14ac:dyDescent="0.35">
      <c r="A97" s="196"/>
      <c r="B97" s="196"/>
      <c r="C97" s="196"/>
      <c r="D97" s="196"/>
      <c r="E97" s="196"/>
      <c r="F97" s="77"/>
      <c r="G97" s="58"/>
    </row>
    <row r="98" spans="1:7" s="47" customFormat="1" ht="30" customHeight="1" thickBot="1" x14ac:dyDescent="0.3">
      <c r="A98" s="155" t="s">
        <v>12</v>
      </c>
      <c r="B98" s="163">
        <v>1</v>
      </c>
      <c r="C98" s="163"/>
      <c r="D98" s="156" t="s">
        <v>15</v>
      </c>
      <c r="E98" s="157" t="s">
        <v>49</v>
      </c>
      <c r="F98" s="158" t="s">
        <v>47</v>
      </c>
      <c r="G98" s="46"/>
    </row>
    <row r="99" spans="1:7" s="47" customFormat="1" ht="30" customHeight="1" thickBot="1" x14ac:dyDescent="0.3">
      <c r="A99" s="78" t="s">
        <v>5</v>
      </c>
      <c r="B99" s="160" t="s">
        <v>41</v>
      </c>
      <c r="C99" s="159"/>
      <c r="D99" s="78" t="s">
        <v>13</v>
      </c>
      <c r="E99" s="250" t="s">
        <v>14</v>
      </c>
      <c r="F99" s="251"/>
      <c r="G99" s="46"/>
    </row>
    <row r="100" spans="1:7" s="52" customFormat="1" ht="68.25" customHeight="1" x14ac:dyDescent="0.3">
      <c r="A100" s="48" t="s">
        <v>4</v>
      </c>
      <c r="B100" s="49">
        <v>18</v>
      </c>
      <c r="C100" s="151" t="str">
        <f xml:space="preserve"> IF(B100="","",setValueToTime(B100))</f>
        <v>1h30min</v>
      </c>
      <c r="D100" s="191" t="s">
        <v>46</v>
      </c>
      <c r="E100" s="252" t="s">
        <v>88</v>
      </c>
      <c r="F100" s="246"/>
      <c r="G100" s="51"/>
    </row>
    <row r="101" spans="1:7" s="52" customFormat="1" x14ac:dyDescent="0.3">
      <c r="A101" s="53"/>
      <c r="B101" s="54"/>
      <c r="C101" s="152" t="str">
        <f t="shared" ref="C101:C107" si="8" xml:space="preserve"> IF(B101="","",setValueToTime(B101))</f>
        <v/>
      </c>
      <c r="D101" s="193"/>
      <c r="E101" s="239"/>
      <c r="F101" s="240"/>
      <c r="G101" s="51"/>
    </row>
    <row r="102" spans="1:7" s="52" customFormat="1" x14ac:dyDescent="0.3">
      <c r="A102" s="53"/>
      <c r="B102" s="54"/>
      <c r="C102" s="152" t="str">
        <f t="shared" si="8"/>
        <v/>
      </c>
      <c r="D102" s="193"/>
      <c r="E102" s="239"/>
      <c r="F102" s="240"/>
      <c r="G102" s="51"/>
    </row>
    <row r="103" spans="1:7" s="52" customFormat="1" x14ac:dyDescent="0.3">
      <c r="A103" s="53"/>
      <c r="B103" s="54"/>
      <c r="C103" s="152" t="str">
        <f t="shared" si="8"/>
        <v/>
      </c>
      <c r="D103" s="193"/>
      <c r="E103" s="239"/>
      <c r="F103" s="240"/>
      <c r="G103" s="51"/>
    </row>
    <row r="104" spans="1:7" s="52" customFormat="1" x14ac:dyDescent="0.3">
      <c r="A104" s="54"/>
      <c r="B104" s="54"/>
      <c r="C104" s="153" t="str">
        <f t="shared" si="8"/>
        <v/>
      </c>
      <c r="D104" s="193"/>
      <c r="E104" s="239"/>
      <c r="F104" s="240"/>
      <c r="G104" s="51"/>
    </row>
    <row r="105" spans="1:7" s="52" customFormat="1" x14ac:dyDescent="0.3">
      <c r="A105" s="54"/>
      <c r="B105" s="54"/>
      <c r="C105" s="153" t="str">
        <f t="shared" si="8"/>
        <v/>
      </c>
      <c r="D105" s="193"/>
      <c r="E105" s="239"/>
      <c r="F105" s="240"/>
      <c r="G105" s="51"/>
    </row>
    <row r="106" spans="1:7" s="52" customFormat="1" x14ac:dyDescent="0.3">
      <c r="A106" s="54"/>
      <c r="B106" s="54"/>
      <c r="C106" s="153" t="str">
        <f t="shared" si="8"/>
        <v/>
      </c>
      <c r="D106" s="193"/>
      <c r="E106" s="239"/>
      <c r="F106" s="240"/>
      <c r="G106" s="51"/>
    </row>
    <row r="107" spans="1:7" s="52" customFormat="1" ht="15" thickBot="1" x14ac:dyDescent="0.35">
      <c r="A107" s="56"/>
      <c r="B107" s="56"/>
      <c r="C107" s="154" t="str">
        <f t="shared" si="8"/>
        <v/>
      </c>
      <c r="D107" s="194"/>
      <c r="E107" s="241"/>
      <c r="F107" s="242"/>
      <c r="G107" s="51"/>
    </row>
    <row r="108" spans="1:7" s="52" customFormat="1" ht="15" thickBot="1" x14ac:dyDescent="0.35">
      <c r="A108" s="161" t="s">
        <v>29</v>
      </c>
      <c r="B108" s="83">
        <f>SUM(B100:B107)</f>
        <v>18</v>
      </c>
      <c r="C108" s="161" t="str">
        <f xml:space="preserve"> setValueToTime(B108)</f>
        <v>1h30min</v>
      </c>
      <c r="D108" s="195"/>
      <c r="E108" s="248"/>
      <c r="F108" s="249"/>
      <c r="G108" s="51"/>
    </row>
    <row r="109" spans="1:7" s="59" customFormat="1" x14ac:dyDescent="0.3">
      <c r="A109" s="196"/>
      <c r="B109" s="196"/>
      <c r="C109" s="196"/>
      <c r="D109" s="196"/>
      <c r="E109" s="196"/>
      <c r="F109" s="77"/>
      <c r="G109" s="58"/>
    </row>
  </sheetData>
  <sheetProtection formatRows="0" insertRows="0" insertHyperlinks="0" deleteRows="0" selectLockedCells="1"/>
  <mergeCells count="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82:F82"/>
    <mergeCell ref="E83:F83"/>
    <mergeCell ref="E84:F84"/>
    <mergeCell ref="E77:F77"/>
    <mergeCell ref="E78:F78"/>
    <mergeCell ref="E79:F79"/>
    <mergeCell ref="E80:F80"/>
    <mergeCell ref="E81:F81"/>
    <mergeCell ref="E106:F106"/>
    <mergeCell ref="E107:F107"/>
    <mergeCell ref="E108:F108"/>
    <mergeCell ref="E87:F87"/>
    <mergeCell ref="E88:F88"/>
    <mergeCell ref="E89:F89"/>
    <mergeCell ref="E90:F90"/>
    <mergeCell ref="E91:F91"/>
    <mergeCell ref="E92:F92"/>
    <mergeCell ref="E99:F99"/>
    <mergeCell ref="E100:F100"/>
    <mergeCell ref="E101:F101"/>
    <mergeCell ref="E102:F102"/>
    <mergeCell ref="E103:F103"/>
    <mergeCell ref="E104:F104"/>
    <mergeCell ref="E93:F93"/>
    <mergeCell ref="E94:F94"/>
    <mergeCell ref="E95:F95"/>
    <mergeCell ref="E96:F96"/>
    <mergeCell ref="E105:F105"/>
    <mergeCell ref="E63:F63"/>
    <mergeCell ref="E64:F64"/>
    <mergeCell ref="E65:F65"/>
    <mergeCell ref="E66:F66"/>
    <mergeCell ref="E67:F67"/>
    <mergeCell ref="E68:F68"/>
    <mergeCell ref="E69:F69"/>
    <mergeCell ref="E70:F70"/>
    <mergeCell ref="E71:F71"/>
    <mergeCell ref="E72:F72"/>
    <mergeCell ref="E75:F75"/>
    <mergeCell ref="E76:F76"/>
    <mergeCell ref="E51:F51"/>
    <mergeCell ref="E52:F52"/>
    <mergeCell ref="E53:F53"/>
    <mergeCell ref="E54:F54"/>
    <mergeCell ref="E55:F55"/>
    <mergeCell ref="E56:F56"/>
    <mergeCell ref="E57:F57"/>
    <mergeCell ref="E58:F58"/>
    <mergeCell ref="E59:F59"/>
    <mergeCell ref="E60:F60"/>
    <mergeCell ref="E27:F27"/>
    <mergeCell ref="E28:F28"/>
    <mergeCell ref="E29:F29"/>
    <mergeCell ref="E30:F30"/>
    <mergeCell ref="E31:F31"/>
    <mergeCell ref="E32:F32"/>
    <mergeCell ref="E33:F33"/>
    <mergeCell ref="E34:F34"/>
    <mergeCell ref="E35:F35"/>
    <mergeCell ref="E36:F36"/>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formula1>0</formula1>
      <formula2>60</formula2>
    </dataValidation>
    <dataValidation type="list" allowBlank="1" showInputMessage="1" showErrorMessage="1" sqref="A100:A107 A88:A95 A76:A83 A64:A71 A52:A59 A40:A47 A28:A35 A16:A23 A4:A11">
      <formula1>ListeTaches</formula1>
    </dataValidation>
  </dataValidations>
  <hyperlinks>
    <hyperlink ref="E100" r:id="rId1"/>
    <hyperlink ref="E80" r:id="rId2"/>
    <hyperlink ref="E65" r:id="rId3" location="main.py"/>
    <hyperlink ref="E54" r:id="rId4" location="main.py"/>
    <hyperlink ref="E30" r:id="rId5"/>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5"/>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12</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2"/>
      <c r="B14" s="103"/>
      <c r="C14" s="103"/>
      <c r="D14" s="103"/>
      <c r="E14" s="210" t="s">
        <v>35</v>
      </c>
      <c r="F14" s="210"/>
      <c r="G14" s="210"/>
      <c r="H14" s="210"/>
      <c r="I14" s="103"/>
      <c r="J14" s="103"/>
      <c r="K14" s="211" t="s">
        <v>24</v>
      </c>
      <c r="L14" s="211"/>
      <c r="M14" s="211"/>
      <c r="N14" s="211"/>
      <c r="O14" s="128"/>
      <c r="P14" s="128"/>
      <c r="Q14" s="210" t="s">
        <v>36</v>
      </c>
      <c r="R14" s="210"/>
      <c r="S14" s="210"/>
      <c r="T14" s="210"/>
      <c r="U14" s="103"/>
      <c r="V14" s="103"/>
      <c r="W14" s="211" t="s">
        <v>25</v>
      </c>
      <c r="X14" s="211"/>
      <c r="Y14" s="211"/>
      <c r="Z14" s="211"/>
      <c r="AA14" s="128"/>
      <c r="AB14" s="128"/>
      <c r="AC14" s="210" t="s">
        <v>37</v>
      </c>
      <c r="AD14" s="210"/>
      <c r="AE14" s="210"/>
      <c r="AF14" s="210"/>
      <c r="AG14" s="103"/>
      <c r="AH14" s="103"/>
      <c r="AI14" s="211" t="s">
        <v>26</v>
      </c>
      <c r="AJ14" s="211"/>
      <c r="AK14" s="211"/>
      <c r="AL14" s="211"/>
      <c r="AM14" s="128"/>
      <c r="AN14" s="128"/>
      <c r="AO14" s="210" t="s">
        <v>38</v>
      </c>
      <c r="AP14" s="210"/>
      <c r="AQ14" s="210"/>
      <c r="AR14" s="210"/>
      <c r="AS14" s="103"/>
      <c r="AT14" s="103"/>
      <c r="AU14" s="211" t="s">
        <v>27</v>
      </c>
      <c r="AV14" s="211"/>
      <c r="AW14" s="211"/>
      <c r="AX14" s="211"/>
      <c r="AY14" s="128"/>
      <c r="AZ14" s="128"/>
      <c r="BA14" s="210" t="s">
        <v>39</v>
      </c>
      <c r="BB14" s="210"/>
      <c r="BC14" s="210"/>
      <c r="BD14" s="210"/>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41</v>
      </c>
      <c r="C2" s="150"/>
      <c r="D2" s="80" t="s">
        <v>13</v>
      </c>
      <c r="E2" s="237" t="s">
        <v>14</v>
      </c>
      <c r="F2" s="238"/>
      <c r="G2" s="46"/>
    </row>
    <row r="3" spans="1:7" s="52" customFormat="1" x14ac:dyDescent="0.3">
      <c r="A3" s="48"/>
      <c r="B3" s="49"/>
      <c r="C3" s="151" t="str">
        <f xml:space="preserve"> IF(B3="","",setValueToTime(B3))</f>
        <v/>
      </c>
      <c r="D3" s="50"/>
      <c r="E3" s="245"/>
      <c r="F3" s="246"/>
      <c r="G3" s="51"/>
    </row>
    <row r="4" spans="1:7" s="52" customFormat="1" x14ac:dyDescent="0.3">
      <c r="A4" s="53"/>
      <c r="B4" s="54"/>
      <c r="C4" s="152" t="str">
        <f t="shared" ref="C4:C10" si="0" xml:space="preserve"> IF(B4="","",setValueToTime(B4))</f>
        <v/>
      </c>
      <c r="D4" s="55"/>
      <c r="E4" s="239"/>
      <c r="F4" s="240"/>
      <c r="G4" s="51"/>
    </row>
    <row r="5" spans="1:7" s="52" customFormat="1" x14ac:dyDescent="0.3">
      <c r="A5" s="53"/>
      <c r="B5" s="54"/>
      <c r="C5" s="152" t="str">
        <f t="shared" si="0"/>
        <v/>
      </c>
      <c r="D5" s="55"/>
      <c r="E5" s="239"/>
      <c r="F5" s="240"/>
      <c r="G5" s="51"/>
    </row>
    <row r="6" spans="1:7" s="52" customFormat="1" x14ac:dyDescent="0.3">
      <c r="A6" s="53"/>
      <c r="B6" s="54"/>
      <c r="C6" s="152" t="str">
        <f t="shared" si="0"/>
        <v/>
      </c>
      <c r="D6" s="55"/>
      <c r="E6" s="239"/>
      <c r="F6" s="240"/>
      <c r="G6" s="51"/>
    </row>
    <row r="7" spans="1:7" s="52" customFormat="1" x14ac:dyDescent="0.3">
      <c r="A7" s="54"/>
      <c r="B7" s="54"/>
      <c r="C7" s="153" t="str">
        <f t="shared" si="0"/>
        <v/>
      </c>
      <c r="D7" s="55"/>
      <c r="E7" s="239"/>
      <c r="F7" s="240"/>
      <c r="G7" s="51"/>
    </row>
    <row r="8" spans="1:7" s="52" customFormat="1" x14ac:dyDescent="0.3">
      <c r="A8" s="54"/>
      <c r="B8" s="54"/>
      <c r="C8" s="153" t="str">
        <f t="shared" si="0"/>
        <v/>
      </c>
      <c r="D8" s="55"/>
      <c r="E8" s="239"/>
      <c r="F8" s="240"/>
      <c r="G8" s="51"/>
    </row>
    <row r="9" spans="1:7" s="52" customFormat="1" x14ac:dyDescent="0.3">
      <c r="A9" s="54"/>
      <c r="B9" s="54"/>
      <c r="C9" s="153" t="str">
        <f t="shared" si="0"/>
        <v/>
      </c>
      <c r="D9" s="55"/>
      <c r="E9" s="239"/>
      <c r="F9" s="240"/>
      <c r="G9" s="51"/>
    </row>
    <row r="10" spans="1:7" s="52" customFormat="1" ht="15" thickBot="1" x14ac:dyDescent="0.35">
      <c r="A10" s="56"/>
      <c r="B10" s="56"/>
      <c r="C10" s="154" t="str">
        <f t="shared" si="0"/>
        <v/>
      </c>
      <c r="D10" s="57"/>
      <c r="E10" s="241"/>
      <c r="F10" s="242"/>
      <c r="G10" s="51"/>
    </row>
    <row r="11" spans="1:7" s="52" customFormat="1" ht="15" thickBot="1" x14ac:dyDescent="0.35">
      <c r="A11" s="110" t="s">
        <v>29</v>
      </c>
      <c r="B11" s="84">
        <f>SUM(B3:B10)</f>
        <v>0</v>
      </c>
      <c r="C11" s="110" t="str">
        <f xml:space="preserve"> setValueToTime(B11)</f>
        <v>0h</v>
      </c>
      <c r="D11" s="119"/>
      <c r="E11" s="243"/>
      <c r="F11" s="24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41</v>
      </c>
      <c r="C2" s="159"/>
      <c r="D2" s="78" t="s">
        <v>13</v>
      </c>
      <c r="E2" s="250" t="s">
        <v>14</v>
      </c>
      <c r="F2" s="251"/>
      <c r="G2" s="46"/>
    </row>
    <row r="3" spans="1:7" s="52" customFormat="1" x14ac:dyDescent="0.3">
      <c r="A3" s="48"/>
      <c r="B3" s="49"/>
      <c r="C3" s="151" t="str">
        <f xml:space="preserve"> IF(B3="","",setValueToTime(B3))</f>
        <v/>
      </c>
      <c r="D3" s="50"/>
      <c r="E3" s="245"/>
      <c r="F3" s="246"/>
      <c r="G3" s="51"/>
    </row>
    <row r="4" spans="1:7" s="52" customFormat="1" x14ac:dyDescent="0.3">
      <c r="A4" s="53"/>
      <c r="B4" s="54"/>
      <c r="C4" s="152" t="str">
        <f t="shared" ref="C4:C10" si="0" xml:space="preserve"> IF(B4="","",setValueToTime(B4))</f>
        <v/>
      </c>
      <c r="D4" s="55"/>
      <c r="E4" s="239"/>
      <c r="F4" s="240"/>
      <c r="G4" s="51"/>
    </row>
    <row r="5" spans="1:7" s="52" customFormat="1" x14ac:dyDescent="0.3">
      <c r="A5" s="53"/>
      <c r="B5" s="54"/>
      <c r="C5" s="152" t="str">
        <f t="shared" si="0"/>
        <v/>
      </c>
      <c r="D5" s="55"/>
      <c r="E5" s="239"/>
      <c r="F5" s="240"/>
      <c r="G5" s="51"/>
    </row>
    <row r="6" spans="1:7" s="52" customFormat="1" x14ac:dyDescent="0.3">
      <c r="A6" s="53"/>
      <c r="B6" s="54"/>
      <c r="C6" s="152" t="str">
        <f t="shared" si="0"/>
        <v/>
      </c>
      <c r="D6" s="55"/>
      <c r="E6" s="239"/>
      <c r="F6" s="240"/>
      <c r="G6" s="51"/>
    </row>
    <row r="7" spans="1:7" s="52" customFormat="1" x14ac:dyDescent="0.3">
      <c r="A7" s="54"/>
      <c r="B7" s="54"/>
      <c r="C7" s="153" t="str">
        <f t="shared" si="0"/>
        <v/>
      </c>
      <c r="D7" s="55"/>
      <c r="E7" s="239"/>
      <c r="F7" s="240"/>
      <c r="G7" s="51"/>
    </row>
    <row r="8" spans="1:7" s="52" customFormat="1" x14ac:dyDescent="0.3">
      <c r="A8" s="54"/>
      <c r="B8" s="54"/>
      <c r="C8" s="153" t="str">
        <f t="shared" si="0"/>
        <v/>
      </c>
      <c r="D8" s="55"/>
      <c r="E8" s="239"/>
      <c r="F8" s="240"/>
      <c r="G8" s="51"/>
    </row>
    <row r="9" spans="1:7" s="52" customFormat="1" x14ac:dyDescent="0.3">
      <c r="A9" s="54"/>
      <c r="B9" s="54"/>
      <c r="C9" s="153" t="str">
        <f t="shared" si="0"/>
        <v/>
      </c>
      <c r="D9" s="55"/>
      <c r="E9" s="239"/>
      <c r="F9" s="240"/>
      <c r="G9" s="51"/>
    </row>
    <row r="10" spans="1:7" s="52" customFormat="1" ht="15" thickBot="1" x14ac:dyDescent="0.35">
      <c r="A10" s="56"/>
      <c r="B10" s="56"/>
      <c r="C10" s="154" t="str">
        <f t="shared" si="0"/>
        <v/>
      </c>
      <c r="D10" s="57"/>
      <c r="E10" s="241"/>
      <c r="F10" s="242"/>
      <c r="G10" s="51"/>
    </row>
    <row r="11" spans="1:7" s="52" customFormat="1" ht="15" thickBot="1" x14ac:dyDescent="0.35">
      <c r="A11" s="161" t="s">
        <v>29</v>
      </c>
      <c r="B11" s="83">
        <f>SUM(B3:B10)</f>
        <v>0</v>
      </c>
      <c r="C11" s="161" t="str">
        <f xml:space="preserve"> setValueToTime(B11)</f>
        <v>0h</v>
      </c>
      <c r="D11" s="120"/>
      <c r="E11" s="248"/>
      <c r="F11" s="24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b00ac6d6-80cd-413d-830d-913bbb2580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111B0F6B9A4254395AB1DB111DB9386" ma:contentTypeVersion="18" ma:contentTypeDescription="Crée un document." ma:contentTypeScope="" ma:versionID="9d29985ff3620a94ff18ac98c9bf3767">
  <xsd:schema xmlns:xsd="http://www.w3.org/2001/XMLSchema" xmlns:xs="http://www.w3.org/2001/XMLSchema" xmlns:p="http://schemas.microsoft.com/office/2006/metadata/properties" xmlns:ns3="b00ac6d6-80cd-413d-830d-913bbb25803f" xmlns:ns4="ee80aa89-3e9c-4f48-b6f7-2e434b001f62" targetNamespace="http://schemas.microsoft.com/office/2006/metadata/properties" ma:root="true" ma:fieldsID="3dfcdcb3759adfbb2b3eac0861787e81" ns3:_="" ns4:_="">
    <xsd:import namespace="b00ac6d6-80cd-413d-830d-913bbb25803f"/>
    <xsd:import namespace="ee80aa89-3e9c-4f48-b6f7-2e434b001f6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0ac6d6-80cd-413d-830d-913bbb2580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0aa89-3e9c-4f48-b6f7-2e434b001f62"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schemas.microsoft.com/office/2006/metadata/properties"/>
    <ds:schemaRef ds:uri="b00ac6d6-80cd-413d-830d-913bbb25803f"/>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ee80aa89-3e9c-4f48-b6f7-2e434b001f62"/>
    <ds:schemaRef ds:uri="http://purl.org/dc/elements/1.1/"/>
    <ds:schemaRef ds:uri="http://www.w3.org/XML/1998/namespace"/>
  </ds:schemaRefs>
</ds:datastoreItem>
</file>

<file path=customXml/itemProps3.xml><?xml version="1.0" encoding="utf-8"?>
<ds:datastoreItem xmlns:ds="http://schemas.openxmlformats.org/officeDocument/2006/customXml" ds:itemID="{3685B032-95E8-457A-8D57-8BC99DC4F5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0ac6d6-80cd-413d-830d-913bbb25803f"/>
    <ds:schemaRef ds:uri="ee80aa89-3e9c-4f48-b6f7-2e434b001f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DiagrammePlanifHaut</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Maryline Vougaz</dc:creator>
  <cp:lastModifiedBy>Maryline Vougaz</cp:lastModifiedBy>
  <cp:lastPrinted>2019-05-08T10:31:53Z</cp:lastPrinted>
  <dcterms:created xsi:type="dcterms:W3CDTF">1996-10-21T11:03:58Z</dcterms:created>
  <dcterms:modified xsi:type="dcterms:W3CDTF">2024-03-15T14:59:49Z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0x0101002111B0F6B9A4254395AB1DB111DB9386</vt:lpwstr>
  </property>
</Properties>
</file>